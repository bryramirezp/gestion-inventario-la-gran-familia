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B9548576-B7AC-4C39-A5B7-3589E7D848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ero 202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276" i="1" l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P276" i="1"/>
  <c r="AG275" i="1"/>
  <c r="AF275" i="1"/>
  <c r="AE275" i="1"/>
  <c r="AD275" i="1"/>
  <c r="AC275" i="1"/>
  <c r="AB275" i="1"/>
  <c r="AA275" i="1"/>
  <c r="Y275" i="1"/>
  <c r="X275" i="1"/>
  <c r="W275" i="1"/>
  <c r="U275" i="1"/>
  <c r="T275" i="1"/>
  <c r="S275" i="1"/>
  <c r="P275" i="1"/>
  <c r="V275" i="1" s="1"/>
  <c r="AG274" i="1"/>
  <c r="AF274" i="1"/>
  <c r="AE274" i="1"/>
  <c r="AD274" i="1"/>
  <c r="AC274" i="1"/>
  <c r="AA274" i="1"/>
  <c r="Z274" i="1"/>
  <c r="Y274" i="1"/>
  <c r="X274" i="1"/>
  <c r="W274" i="1"/>
  <c r="V274" i="1"/>
  <c r="U274" i="1"/>
  <c r="T274" i="1"/>
  <c r="S274" i="1"/>
  <c r="P274" i="1"/>
  <c r="AB274" i="1" s="1"/>
  <c r="AG273" i="1"/>
  <c r="AF273" i="1"/>
  <c r="AE273" i="1"/>
  <c r="AD273" i="1"/>
  <c r="AC273" i="1"/>
  <c r="AA273" i="1"/>
  <c r="Z273" i="1"/>
  <c r="Y273" i="1"/>
  <c r="X273" i="1"/>
  <c r="W273" i="1"/>
  <c r="U273" i="1"/>
  <c r="T273" i="1"/>
  <c r="S273" i="1"/>
  <c r="P273" i="1"/>
  <c r="AB273" i="1" s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P272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P271" i="1"/>
  <c r="AG270" i="1"/>
  <c r="AF270" i="1"/>
  <c r="AE270" i="1"/>
  <c r="AD270" i="1"/>
  <c r="AC270" i="1"/>
  <c r="AA270" i="1"/>
  <c r="Z270" i="1"/>
  <c r="Y270" i="1"/>
  <c r="X270" i="1"/>
  <c r="W270" i="1"/>
  <c r="U270" i="1"/>
  <c r="T270" i="1"/>
  <c r="S270" i="1"/>
  <c r="P270" i="1"/>
  <c r="AB270" i="1" s="1"/>
  <c r="AG269" i="1"/>
  <c r="AF269" i="1"/>
  <c r="AE269" i="1"/>
  <c r="AD269" i="1"/>
  <c r="AC269" i="1"/>
  <c r="AB269" i="1"/>
  <c r="Z269" i="1"/>
  <c r="Y269" i="1"/>
  <c r="X269" i="1"/>
  <c r="W269" i="1"/>
  <c r="U269" i="1"/>
  <c r="T269" i="1"/>
  <c r="S269" i="1"/>
  <c r="P269" i="1"/>
  <c r="V269" i="1" s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P268" i="1"/>
  <c r="AG267" i="1"/>
  <c r="AF267" i="1"/>
  <c r="AE267" i="1"/>
  <c r="AD267" i="1"/>
  <c r="AC267" i="1"/>
  <c r="AB267" i="1"/>
  <c r="AA267" i="1"/>
  <c r="Y267" i="1"/>
  <c r="X267" i="1"/>
  <c r="W267" i="1"/>
  <c r="U267" i="1"/>
  <c r="T267" i="1"/>
  <c r="S267" i="1"/>
  <c r="P267" i="1"/>
  <c r="Z267" i="1" s="1"/>
  <c r="AG266" i="1"/>
  <c r="AF266" i="1"/>
  <c r="AE266" i="1"/>
  <c r="AD266" i="1"/>
  <c r="AC266" i="1"/>
  <c r="AB266" i="1"/>
  <c r="AA266" i="1"/>
  <c r="Y266" i="1"/>
  <c r="X266" i="1"/>
  <c r="W266" i="1"/>
  <c r="V266" i="1"/>
  <c r="U266" i="1"/>
  <c r="T266" i="1"/>
  <c r="S266" i="1"/>
  <c r="P266" i="1"/>
  <c r="Z266" i="1" s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P265" i="1"/>
  <c r="AG264" i="1"/>
  <c r="AF264" i="1"/>
  <c r="AE264" i="1"/>
  <c r="AD264" i="1"/>
  <c r="AC264" i="1"/>
  <c r="AB264" i="1"/>
  <c r="Z264" i="1"/>
  <c r="Y264" i="1"/>
  <c r="X264" i="1"/>
  <c r="W264" i="1"/>
  <c r="U264" i="1"/>
  <c r="T264" i="1"/>
  <c r="S264" i="1"/>
  <c r="P264" i="1"/>
  <c r="AA264" i="1" s="1"/>
  <c r="AG263" i="1"/>
  <c r="AF263" i="1"/>
  <c r="AE263" i="1"/>
  <c r="AD263" i="1"/>
  <c r="AC263" i="1"/>
  <c r="AB263" i="1"/>
  <c r="Z263" i="1"/>
  <c r="Y263" i="1"/>
  <c r="X263" i="1"/>
  <c r="W263" i="1"/>
  <c r="V263" i="1"/>
  <c r="U263" i="1"/>
  <c r="T263" i="1"/>
  <c r="S263" i="1"/>
  <c r="P263" i="1"/>
  <c r="AA263" i="1" s="1"/>
  <c r="AG262" i="1"/>
  <c r="AF262" i="1"/>
  <c r="AE262" i="1"/>
  <c r="AD262" i="1"/>
  <c r="AC262" i="1"/>
  <c r="AB262" i="1"/>
  <c r="Z262" i="1"/>
  <c r="Y262" i="1"/>
  <c r="X262" i="1"/>
  <c r="W262" i="1"/>
  <c r="V262" i="1"/>
  <c r="U262" i="1"/>
  <c r="T262" i="1"/>
  <c r="S262" i="1"/>
  <c r="P262" i="1"/>
  <c r="AA262" i="1" s="1"/>
  <c r="AG261" i="1"/>
  <c r="AF261" i="1"/>
  <c r="AE261" i="1"/>
  <c r="AD261" i="1"/>
  <c r="AC261" i="1"/>
  <c r="AA261" i="1"/>
  <c r="Z261" i="1"/>
  <c r="Y261" i="1"/>
  <c r="X261" i="1"/>
  <c r="W261" i="1"/>
  <c r="U261" i="1"/>
  <c r="T261" i="1"/>
  <c r="S261" i="1"/>
  <c r="P261" i="1"/>
  <c r="AB261" i="1" s="1"/>
  <c r="AG260" i="1"/>
  <c r="AF260" i="1"/>
  <c r="AE260" i="1"/>
  <c r="AD260" i="1"/>
  <c r="AC260" i="1"/>
  <c r="AA260" i="1"/>
  <c r="Z260" i="1"/>
  <c r="Y260" i="1"/>
  <c r="X260" i="1"/>
  <c r="W260" i="1"/>
  <c r="U260" i="1"/>
  <c r="T260" i="1"/>
  <c r="S260" i="1"/>
  <c r="P260" i="1"/>
  <c r="AB260" i="1" s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P259" i="1"/>
  <c r="AG258" i="1"/>
  <c r="AF258" i="1"/>
  <c r="AE258" i="1"/>
  <c r="AD258" i="1"/>
  <c r="AC258" i="1"/>
  <c r="AA258" i="1"/>
  <c r="Z258" i="1"/>
  <c r="Y258" i="1"/>
  <c r="X258" i="1"/>
  <c r="W258" i="1"/>
  <c r="U258" i="1"/>
  <c r="T258" i="1"/>
  <c r="S258" i="1"/>
  <c r="P258" i="1"/>
  <c r="AB258" i="1" s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P257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P256" i="1"/>
  <c r="AG255" i="1"/>
  <c r="AF255" i="1"/>
  <c r="AE255" i="1"/>
  <c r="AD255" i="1"/>
  <c r="AC255" i="1"/>
  <c r="AA255" i="1"/>
  <c r="Z255" i="1"/>
  <c r="Y255" i="1"/>
  <c r="X255" i="1"/>
  <c r="W255" i="1"/>
  <c r="U255" i="1"/>
  <c r="T255" i="1"/>
  <c r="S255" i="1"/>
  <c r="P255" i="1"/>
  <c r="AB255" i="1" s="1"/>
  <c r="AG254" i="1"/>
  <c r="AF254" i="1"/>
  <c r="AE254" i="1"/>
  <c r="AD254" i="1"/>
  <c r="AC254" i="1"/>
  <c r="AB254" i="1"/>
  <c r="AA254" i="1"/>
  <c r="X254" i="1"/>
  <c r="W254" i="1"/>
  <c r="V254" i="1"/>
  <c r="U254" i="1"/>
  <c r="T254" i="1"/>
  <c r="S254" i="1"/>
  <c r="P254" i="1"/>
  <c r="Y254" i="1" s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P253" i="1"/>
  <c r="AG252" i="1"/>
  <c r="AF252" i="1"/>
  <c r="AE252" i="1"/>
  <c r="AD252" i="1"/>
  <c r="AC252" i="1"/>
  <c r="AB252" i="1"/>
  <c r="AA252" i="1"/>
  <c r="Y252" i="1"/>
  <c r="X252" i="1"/>
  <c r="W252" i="1"/>
  <c r="U252" i="1"/>
  <c r="T252" i="1"/>
  <c r="S252" i="1"/>
  <c r="P252" i="1"/>
  <c r="Z252" i="1" s="1"/>
  <c r="AG251" i="1"/>
  <c r="AF251" i="1"/>
  <c r="AE251" i="1"/>
  <c r="AD251" i="1"/>
  <c r="AC251" i="1"/>
  <c r="AB251" i="1"/>
  <c r="AA251" i="1"/>
  <c r="Y251" i="1"/>
  <c r="X251" i="1"/>
  <c r="W251" i="1"/>
  <c r="V251" i="1"/>
  <c r="U251" i="1"/>
  <c r="T251" i="1"/>
  <c r="S251" i="1"/>
  <c r="P251" i="1"/>
  <c r="Z251" i="1" s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P250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S249" i="1"/>
  <c r="P249" i="1"/>
  <c r="T249" i="1" s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S248" i="1"/>
  <c r="P248" i="1"/>
  <c r="T248" i="1" s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P247" i="1"/>
  <c r="AG246" i="1"/>
  <c r="AF246" i="1"/>
  <c r="AE246" i="1"/>
  <c r="AC246" i="1"/>
  <c r="AB246" i="1"/>
  <c r="AA246" i="1"/>
  <c r="Z246" i="1"/>
  <c r="Y246" i="1"/>
  <c r="W246" i="1"/>
  <c r="V246" i="1"/>
  <c r="U246" i="1"/>
  <c r="T246" i="1"/>
  <c r="S246" i="1"/>
  <c r="P246" i="1"/>
  <c r="AD246" i="1" s="1"/>
  <c r="AG245" i="1"/>
  <c r="AF245" i="1"/>
  <c r="AE245" i="1"/>
  <c r="AD245" i="1"/>
  <c r="AC245" i="1"/>
  <c r="AB245" i="1"/>
  <c r="AA245" i="1"/>
  <c r="Y245" i="1"/>
  <c r="X245" i="1"/>
  <c r="W245" i="1"/>
  <c r="V245" i="1"/>
  <c r="U245" i="1"/>
  <c r="T245" i="1"/>
  <c r="S245" i="1"/>
  <c r="P245" i="1"/>
  <c r="Z245" i="1" s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P244" i="1"/>
  <c r="AG243" i="1"/>
  <c r="AF243" i="1"/>
  <c r="AE243" i="1"/>
  <c r="AD243" i="1"/>
  <c r="AC243" i="1"/>
  <c r="AB243" i="1"/>
  <c r="AA243" i="1"/>
  <c r="Y243" i="1"/>
  <c r="X243" i="1"/>
  <c r="W243" i="1"/>
  <c r="V243" i="1"/>
  <c r="T243" i="1"/>
  <c r="S243" i="1"/>
  <c r="P243" i="1"/>
  <c r="U243" i="1" s="1"/>
  <c r="AG242" i="1"/>
  <c r="AF242" i="1"/>
  <c r="AE242" i="1"/>
  <c r="AD242" i="1"/>
  <c r="AC242" i="1"/>
  <c r="AB242" i="1"/>
  <c r="AA242" i="1"/>
  <c r="Y242" i="1"/>
  <c r="X242" i="1"/>
  <c r="W242" i="1"/>
  <c r="V242" i="1"/>
  <c r="U242" i="1"/>
  <c r="T242" i="1"/>
  <c r="S242" i="1"/>
  <c r="P242" i="1"/>
  <c r="Z242" i="1" s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P241" i="1"/>
  <c r="AG240" i="1"/>
  <c r="AF240" i="1"/>
  <c r="AE240" i="1"/>
  <c r="AD240" i="1"/>
  <c r="AC240" i="1"/>
  <c r="AB240" i="1"/>
  <c r="AA240" i="1"/>
  <c r="Y240" i="1"/>
  <c r="X240" i="1"/>
  <c r="W240" i="1"/>
  <c r="V240" i="1"/>
  <c r="T240" i="1"/>
  <c r="S240" i="1"/>
  <c r="P240" i="1"/>
  <c r="U240" i="1" s="1"/>
  <c r="AG239" i="1"/>
  <c r="AF239" i="1"/>
  <c r="AE239" i="1"/>
  <c r="AD239" i="1"/>
  <c r="AC239" i="1"/>
  <c r="AB239" i="1"/>
  <c r="AA239" i="1"/>
  <c r="Y239" i="1"/>
  <c r="X239" i="1"/>
  <c r="W239" i="1"/>
  <c r="V239" i="1"/>
  <c r="U239" i="1"/>
  <c r="T239" i="1"/>
  <c r="S239" i="1"/>
  <c r="P239" i="1"/>
  <c r="Z239" i="1" s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P238" i="1"/>
  <c r="AG237" i="1"/>
  <c r="AF237" i="1"/>
  <c r="AE237" i="1"/>
  <c r="AD237" i="1"/>
  <c r="AC237" i="1"/>
  <c r="AB237" i="1"/>
  <c r="AA237" i="1"/>
  <c r="Y237" i="1"/>
  <c r="X237" i="1"/>
  <c r="W237" i="1"/>
  <c r="V237" i="1"/>
  <c r="T237" i="1"/>
  <c r="S237" i="1"/>
  <c r="P237" i="1"/>
  <c r="U237" i="1" s="1"/>
  <c r="AG236" i="1"/>
  <c r="AF236" i="1"/>
  <c r="AE236" i="1"/>
  <c r="AD236" i="1"/>
  <c r="AC236" i="1"/>
  <c r="AB236" i="1"/>
  <c r="AA236" i="1"/>
  <c r="Y236" i="1"/>
  <c r="X236" i="1"/>
  <c r="W236" i="1"/>
  <c r="V236" i="1"/>
  <c r="U236" i="1"/>
  <c r="T236" i="1"/>
  <c r="S236" i="1"/>
  <c r="P236" i="1"/>
  <c r="Z236" i="1" s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P235" i="1"/>
  <c r="AG234" i="1"/>
  <c r="AF234" i="1"/>
  <c r="AE234" i="1"/>
  <c r="AD234" i="1"/>
  <c r="AC234" i="1"/>
  <c r="AB234" i="1"/>
  <c r="AA234" i="1"/>
  <c r="Y234" i="1"/>
  <c r="X234" i="1"/>
  <c r="W234" i="1"/>
  <c r="U234" i="1"/>
  <c r="T234" i="1"/>
  <c r="S234" i="1"/>
  <c r="P234" i="1"/>
  <c r="Z234" i="1" s="1"/>
  <c r="AG233" i="1"/>
  <c r="AF233" i="1"/>
  <c r="AE233" i="1"/>
  <c r="AD233" i="1"/>
  <c r="AC233" i="1"/>
  <c r="AB233" i="1"/>
  <c r="AA233" i="1"/>
  <c r="Y233" i="1"/>
  <c r="X233" i="1"/>
  <c r="W233" i="1"/>
  <c r="V233" i="1"/>
  <c r="U233" i="1"/>
  <c r="T233" i="1"/>
  <c r="S233" i="1"/>
  <c r="P233" i="1"/>
  <c r="Z233" i="1" s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P232" i="1"/>
  <c r="AG231" i="1"/>
  <c r="AF231" i="1"/>
  <c r="AE231" i="1"/>
  <c r="AD231" i="1"/>
  <c r="AC231" i="1"/>
  <c r="AB231" i="1"/>
  <c r="AA231" i="1"/>
  <c r="Y231" i="1"/>
  <c r="X231" i="1"/>
  <c r="W231" i="1"/>
  <c r="V231" i="1"/>
  <c r="T231" i="1"/>
  <c r="S231" i="1"/>
  <c r="P231" i="1"/>
  <c r="U231" i="1" s="1"/>
  <c r="AG230" i="1"/>
  <c r="AF230" i="1"/>
  <c r="AE230" i="1"/>
  <c r="AD230" i="1"/>
  <c r="AC230" i="1"/>
  <c r="AB230" i="1"/>
  <c r="AA230" i="1"/>
  <c r="Y230" i="1"/>
  <c r="X230" i="1"/>
  <c r="W230" i="1"/>
  <c r="V230" i="1"/>
  <c r="U230" i="1"/>
  <c r="T230" i="1"/>
  <c r="S230" i="1"/>
  <c r="P230" i="1"/>
  <c r="Z230" i="1" s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P229" i="1"/>
  <c r="AG228" i="1"/>
  <c r="AF228" i="1"/>
  <c r="AE228" i="1"/>
  <c r="AD228" i="1"/>
  <c r="AC228" i="1"/>
  <c r="AB228" i="1"/>
  <c r="AA228" i="1"/>
  <c r="Y228" i="1"/>
  <c r="X228" i="1"/>
  <c r="W228" i="1"/>
  <c r="U228" i="1"/>
  <c r="T228" i="1"/>
  <c r="S228" i="1"/>
  <c r="P228" i="1"/>
  <c r="Z228" i="1" s="1"/>
  <c r="AG227" i="1"/>
  <c r="AF227" i="1"/>
  <c r="AE227" i="1"/>
  <c r="AD227" i="1"/>
  <c r="AC227" i="1"/>
  <c r="AB227" i="1"/>
  <c r="AA227" i="1"/>
  <c r="Y227" i="1"/>
  <c r="X227" i="1"/>
  <c r="W227" i="1"/>
  <c r="U227" i="1"/>
  <c r="T227" i="1"/>
  <c r="S227" i="1"/>
  <c r="P227" i="1"/>
  <c r="V227" i="1" s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P226" i="1"/>
  <c r="AG225" i="1"/>
  <c r="AF225" i="1"/>
  <c r="AE225" i="1"/>
  <c r="AD225" i="1"/>
  <c r="AC225" i="1"/>
  <c r="AB225" i="1"/>
  <c r="AA225" i="1"/>
  <c r="Y225" i="1"/>
  <c r="X225" i="1"/>
  <c r="W225" i="1"/>
  <c r="U225" i="1"/>
  <c r="T225" i="1"/>
  <c r="S225" i="1"/>
  <c r="P225" i="1"/>
  <c r="Z225" i="1" s="1"/>
  <c r="AG224" i="1"/>
  <c r="AF224" i="1"/>
  <c r="AE224" i="1"/>
  <c r="AD224" i="1"/>
  <c r="AC224" i="1"/>
  <c r="AB224" i="1"/>
  <c r="AA224" i="1"/>
  <c r="Y224" i="1"/>
  <c r="X224" i="1"/>
  <c r="W224" i="1"/>
  <c r="V224" i="1"/>
  <c r="U224" i="1"/>
  <c r="T224" i="1"/>
  <c r="S224" i="1"/>
  <c r="P224" i="1"/>
  <c r="AG223" i="1"/>
  <c r="AF223" i="1"/>
  <c r="AE223" i="1"/>
  <c r="AD223" i="1"/>
  <c r="AC223" i="1"/>
  <c r="AB223" i="1"/>
  <c r="AA223" i="1"/>
  <c r="Y223" i="1"/>
  <c r="X223" i="1"/>
  <c r="W223" i="1"/>
  <c r="V223" i="1"/>
  <c r="U223" i="1"/>
  <c r="T223" i="1"/>
  <c r="S223" i="1"/>
  <c r="P223" i="1"/>
  <c r="AG222" i="1"/>
  <c r="AF222" i="1"/>
  <c r="AE222" i="1"/>
  <c r="AD222" i="1"/>
  <c r="AC222" i="1"/>
  <c r="AB222" i="1"/>
  <c r="AA222" i="1"/>
  <c r="Y222" i="1"/>
  <c r="X222" i="1"/>
  <c r="W222" i="1"/>
  <c r="V222" i="1"/>
  <c r="U222" i="1"/>
  <c r="T222" i="1"/>
  <c r="S222" i="1"/>
  <c r="P222" i="1"/>
  <c r="Z222" i="1" s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P221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T220" i="1"/>
  <c r="S220" i="1"/>
  <c r="P220" i="1"/>
  <c r="U220" i="1" s="1"/>
  <c r="AG219" i="1"/>
  <c r="AF219" i="1"/>
  <c r="AE219" i="1"/>
  <c r="AD219" i="1"/>
  <c r="AC219" i="1"/>
  <c r="AB219" i="1"/>
  <c r="AA219" i="1"/>
  <c r="Y219" i="1"/>
  <c r="X219" i="1"/>
  <c r="W219" i="1"/>
  <c r="V219" i="1"/>
  <c r="U219" i="1"/>
  <c r="T219" i="1"/>
  <c r="S219" i="1"/>
  <c r="P219" i="1"/>
  <c r="Z219" i="1" s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P218" i="1"/>
  <c r="AG217" i="1"/>
  <c r="AF217" i="1"/>
  <c r="AE217" i="1"/>
  <c r="AD217" i="1"/>
  <c r="AC217" i="1"/>
  <c r="AB217" i="1"/>
  <c r="AA217" i="1"/>
  <c r="Z217" i="1"/>
  <c r="Y217" i="1"/>
  <c r="X217" i="1"/>
  <c r="W217" i="1"/>
  <c r="U217" i="1"/>
  <c r="T217" i="1"/>
  <c r="S217" i="1"/>
  <c r="P217" i="1"/>
  <c r="V217" i="1" s="1"/>
  <c r="AG216" i="1"/>
  <c r="AF216" i="1"/>
  <c r="AE216" i="1"/>
  <c r="AD216" i="1"/>
  <c r="AC216" i="1"/>
  <c r="AB216" i="1"/>
  <c r="AA216" i="1"/>
  <c r="Y216" i="1"/>
  <c r="X216" i="1"/>
  <c r="W216" i="1"/>
  <c r="U216" i="1"/>
  <c r="T216" i="1"/>
  <c r="S216" i="1"/>
  <c r="P216" i="1"/>
  <c r="V216" i="1" s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P215" i="1"/>
  <c r="AG214" i="1"/>
  <c r="AF214" i="1"/>
  <c r="AE214" i="1"/>
  <c r="AD214" i="1"/>
  <c r="AC214" i="1"/>
  <c r="AB214" i="1"/>
  <c r="Z214" i="1"/>
  <c r="Y214" i="1"/>
  <c r="X214" i="1"/>
  <c r="W214" i="1"/>
  <c r="V214" i="1"/>
  <c r="T214" i="1"/>
  <c r="S214" i="1"/>
  <c r="P214" i="1"/>
  <c r="AA214" i="1" s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P213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P212" i="1"/>
  <c r="AG211" i="1"/>
  <c r="AF211" i="1"/>
  <c r="AE211" i="1"/>
  <c r="AD211" i="1"/>
  <c r="AC211" i="1"/>
  <c r="AB211" i="1"/>
  <c r="AA211" i="1"/>
  <c r="Z211" i="1"/>
  <c r="Y211" i="1"/>
  <c r="X211" i="1"/>
  <c r="W211" i="1"/>
  <c r="U211" i="1"/>
  <c r="T211" i="1"/>
  <c r="S211" i="1"/>
  <c r="P211" i="1"/>
  <c r="V211" i="1" s="1"/>
  <c r="AG210" i="1"/>
  <c r="AF210" i="1"/>
  <c r="AE210" i="1"/>
  <c r="AD210" i="1"/>
  <c r="AC210" i="1"/>
  <c r="AB210" i="1"/>
  <c r="AA210" i="1"/>
  <c r="Y210" i="1"/>
  <c r="X210" i="1"/>
  <c r="W210" i="1"/>
  <c r="V210" i="1"/>
  <c r="U210" i="1"/>
  <c r="T210" i="1"/>
  <c r="S210" i="1"/>
  <c r="P210" i="1"/>
  <c r="AG209" i="1"/>
  <c r="AF209" i="1"/>
  <c r="AE209" i="1"/>
  <c r="AD209" i="1"/>
  <c r="AC209" i="1"/>
  <c r="AB209" i="1"/>
  <c r="AA209" i="1"/>
  <c r="Y209" i="1"/>
  <c r="X209" i="1"/>
  <c r="W209" i="1"/>
  <c r="V209" i="1"/>
  <c r="U209" i="1"/>
  <c r="T209" i="1"/>
  <c r="S209" i="1"/>
  <c r="P209" i="1"/>
  <c r="AG208" i="1"/>
  <c r="AF208" i="1"/>
  <c r="AE208" i="1"/>
  <c r="AD208" i="1"/>
  <c r="AC208" i="1"/>
  <c r="AB208" i="1"/>
  <c r="AA208" i="1"/>
  <c r="Y208" i="1"/>
  <c r="X208" i="1"/>
  <c r="W208" i="1"/>
  <c r="V208" i="1"/>
  <c r="U208" i="1"/>
  <c r="T208" i="1"/>
  <c r="S208" i="1"/>
  <c r="P208" i="1"/>
  <c r="AG207" i="1"/>
  <c r="AF207" i="1"/>
  <c r="AE207" i="1"/>
  <c r="AD207" i="1"/>
  <c r="AC207" i="1"/>
  <c r="AB207" i="1"/>
  <c r="AA207" i="1"/>
  <c r="Y207" i="1"/>
  <c r="X207" i="1"/>
  <c r="W207" i="1"/>
  <c r="V207" i="1"/>
  <c r="U207" i="1"/>
  <c r="T207" i="1"/>
  <c r="S207" i="1"/>
  <c r="P207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P206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P205" i="1"/>
  <c r="AG204" i="1"/>
  <c r="AF204" i="1"/>
  <c r="AE204" i="1"/>
  <c r="AD204" i="1"/>
  <c r="AC204" i="1"/>
  <c r="AB204" i="1"/>
  <c r="Z204" i="1"/>
  <c r="Y204" i="1"/>
  <c r="X204" i="1"/>
  <c r="W204" i="1"/>
  <c r="V204" i="1"/>
  <c r="T204" i="1"/>
  <c r="S204" i="1"/>
  <c r="P204" i="1"/>
  <c r="AA204" i="1" s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P203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P202" i="1"/>
  <c r="AG201" i="1"/>
  <c r="AF201" i="1"/>
  <c r="AE201" i="1"/>
  <c r="AD201" i="1"/>
  <c r="AC201" i="1"/>
  <c r="AB201" i="1"/>
  <c r="Z201" i="1"/>
  <c r="Y201" i="1"/>
  <c r="X201" i="1"/>
  <c r="W201" i="1"/>
  <c r="V201" i="1"/>
  <c r="T201" i="1"/>
  <c r="S201" i="1"/>
  <c r="P201" i="1"/>
  <c r="AA201" i="1" s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P200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P199" i="1"/>
  <c r="AG198" i="1"/>
  <c r="AF198" i="1"/>
  <c r="AE198" i="1"/>
  <c r="AD198" i="1"/>
  <c r="AC198" i="1"/>
  <c r="AB198" i="1"/>
  <c r="Z198" i="1"/>
  <c r="Y198" i="1"/>
  <c r="X198" i="1"/>
  <c r="W198" i="1"/>
  <c r="V198" i="1"/>
  <c r="T198" i="1"/>
  <c r="S198" i="1"/>
  <c r="P198" i="1"/>
  <c r="AA198" i="1" s="1"/>
  <c r="AG197" i="1"/>
  <c r="AF197" i="1"/>
  <c r="AE197" i="1"/>
  <c r="AD197" i="1"/>
  <c r="AC197" i="1"/>
  <c r="AA197" i="1"/>
  <c r="Z197" i="1"/>
  <c r="Y197" i="1"/>
  <c r="X197" i="1"/>
  <c r="W197" i="1"/>
  <c r="V197" i="1"/>
  <c r="U197" i="1"/>
  <c r="T197" i="1"/>
  <c r="S197" i="1"/>
  <c r="P197" i="1"/>
  <c r="AB197" i="1" s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P196" i="1"/>
  <c r="AG195" i="1"/>
  <c r="AF195" i="1"/>
  <c r="AE195" i="1"/>
  <c r="AD195" i="1"/>
  <c r="AC195" i="1"/>
  <c r="AB195" i="1"/>
  <c r="Z195" i="1"/>
  <c r="Y195" i="1"/>
  <c r="X195" i="1"/>
  <c r="W195" i="1"/>
  <c r="V195" i="1"/>
  <c r="T195" i="1"/>
  <c r="S195" i="1"/>
  <c r="P195" i="1"/>
  <c r="AA195" i="1" s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P194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P193" i="1"/>
  <c r="AG192" i="1"/>
  <c r="AF192" i="1"/>
  <c r="AE192" i="1"/>
  <c r="AD192" i="1"/>
  <c r="AC192" i="1"/>
  <c r="AB192" i="1"/>
  <c r="Z192" i="1"/>
  <c r="Y192" i="1"/>
  <c r="X192" i="1"/>
  <c r="W192" i="1"/>
  <c r="V192" i="1"/>
  <c r="T192" i="1"/>
  <c r="S192" i="1"/>
  <c r="P192" i="1"/>
  <c r="AA192" i="1" s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P191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P190" i="1"/>
  <c r="AG189" i="1"/>
  <c r="AF189" i="1"/>
  <c r="AE189" i="1"/>
  <c r="AD189" i="1"/>
  <c r="AC189" i="1"/>
  <c r="AB189" i="1"/>
  <c r="AA189" i="1"/>
  <c r="Y189" i="1"/>
  <c r="X189" i="1"/>
  <c r="W189" i="1"/>
  <c r="V189" i="1"/>
  <c r="T189" i="1"/>
  <c r="S189" i="1"/>
  <c r="P189" i="1"/>
  <c r="U189" i="1" s="1"/>
  <c r="AG188" i="1"/>
  <c r="AF188" i="1"/>
  <c r="AE188" i="1"/>
  <c r="AD188" i="1"/>
  <c r="AC188" i="1"/>
  <c r="AB188" i="1"/>
  <c r="AA188" i="1"/>
  <c r="Y188" i="1"/>
  <c r="X188" i="1"/>
  <c r="W188" i="1"/>
  <c r="V188" i="1"/>
  <c r="U188" i="1"/>
  <c r="T188" i="1"/>
  <c r="S188" i="1"/>
  <c r="P188" i="1"/>
  <c r="Z188" i="1" s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P187" i="1"/>
  <c r="AG186" i="1"/>
  <c r="AF186" i="1"/>
  <c r="AE186" i="1"/>
  <c r="AD186" i="1"/>
  <c r="AC186" i="1"/>
  <c r="AB186" i="1"/>
  <c r="AA186" i="1"/>
  <c r="Y186" i="1"/>
  <c r="X186" i="1"/>
  <c r="W186" i="1"/>
  <c r="V186" i="1"/>
  <c r="T186" i="1"/>
  <c r="S186" i="1"/>
  <c r="P186" i="1"/>
  <c r="U186" i="1" s="1"/>
  <c r="AG185" i="1"/>
  <c r="AF185" i="1"/>
  <c r="AE185" i="1"/>
  <c r="AD185" i="1"/>
  <c r="AC185" i="1"/>
  <c r="AB185" i="1"/>
  <c r="AA185" i="1"/>
  <c r="Y185" i="1"/>
  <c r="X185" i="1"/>
  <c r="W185" i="1"/>
  <c r="V185" i="1"/>
  <c r="U185" i="1"/>
  <c r="T185" i="1"/>
  <c r="S185" i="1"/>
  <c r="P185" i="1"/>
  <c r="Z185" i="1" s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P184" i="1"/>
  <c r="AG183" i="1"/>
  <c r="AF183" i="1"/>
  <c r="AE183" i="1"/>
  <c r="AD183" i="1"/>
  <c r="AC183" i="1"/>
  <c r="AB183" i="1"/>
  <c r="AA183" i="1"/>
  <c r="Y183" i="1"/>
  <c r="X183" i="1"/>
  <c r="W183" i="1"/>
  <c r="V183" i="1"/>
  <c r="T183" i="1"/>
  <c r="S183" i="1"/>
  <c r="P183" i="1"/>
  <c r="U183" i="1" s="1"/>
  <c r="AG182" i="1"/>
  <c r="AF182" i="1"/>
  <c r="AE182" i="1"/>
  <c r="AD182" i="1"/>
  <c r="AC182" i="1"/>
  <c r="AB182" i="1"/>
  <c r="AA182" i="1"/>
  <c r="Y182" i="1"/>
  <c r="X182" i="1"/>
  <c r="W182" i="1"/>
  <c r="V182" i="1"/>
  <c r="U182" i="1"/>
  <c r="T182" i="1"/>
  <c r="S182" i="1"/>
  <c r="P182" i="1"/>
  <c r="Z182" i="1" s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P181" i="1"/>
  <c r="AG180" i="1"/>
  <c r="AF180" i="1"/>
  <c r="AE180" i="1"/>
  <c r="AD180" i="1"/>
  <c r="AC180" i="1"/>
  <c r="AB180" i="1"/>
  <c r="AA180" i="1"/>
  <c r="Y180" i="1"/>
  <c r="X180" i="1"/>
  <c r="W180" i="1"/>
  <c r="V180" i="1"/>
  <c r="T180" i="1"/>
  <c r="S180" i="1"/>
  <c r="P180" i="1"/>
  <c r="U180" i="1" s="1"/>
  <c r="AG179" i="1"/>
  <c r="AF179" i="1"/>
  <c r="AE179" i="1"/>
  <c r="AD179" i="1"/>
  <c r="AC179" i="1"/>
  <c r="AB179" i="1"/>
  <c r="AA179" i="1"/>
  <c r="Y179" i="1"/>
  <c r="X179" i="1"/>
  <c r="W179" i="1"/>
  <c r="V179" i="1"/>
  <c r="U179" i="1"/>
  <c r="T179" i="1"/>
  <c r="S179" i="1"/>
  <c r="P179" i="1"/>
  <c r="Z179" i="1" s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P178" i="1"/>
  <c r="AG177" i="1"/>
  <c r="AF177" i="1"/>
  <c r="AE177" i="1"/>
  <c r="AD177" i="1"/>
  <c r="AC177" i="1"/>
  <c r="AB177" i="1"/>
  <c r="AA177" i="1"/>
  <c r="Y177" i="1"/>
  <c r="X177" i="1"/>
  <c r="W177" i="1"/>
  <c r="V177" i="1"/>
  <c r="T177" i="1"/>
  <c r="S177" i="1"/>
  <c r="P177" i="1"/>
  <c r="U177" i="1" s="1"/>
  <c r="AG176" i="1"/>
  <c r="AF176" i="1"/>
  <c r="AE176" i="1"/>
  <c r="AD176" i="1"/>
  <c r="AC176" i="1"/>
  <c r="AB176" i="1"/>
  <c r="AA176" i="1"/>
  <c r="Y176" i="1"/>
  <c r="X176" i="1"/>
  <c r="W176" i="1"/>
  <c r="V176" i="1"/>
  <c r="U176" i="1"/>
  <c r="T176" i="1"/>
  <c r="S176" i="1"/>
  <c r="P176" i="1"/>
  <c r="Z176" i="1" s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P175" i="1"/>
  <c r="AG174" i="1"/>
  <c r="AF174" i="1"/>
  <c r="AE174" i="1"/>
  <c r="AD174" i="1"/>
  <c r="AC174" i="1"/>
  <c r="AB174" i="1"/>
  <c r="AA174" i="1"/>
  <c r="Y174" i="1"/>
  <c r="X174" i="1"/>
  <c r="W174" i="1"/>
  <c r="V174" i="1"/>
  <c r="T174" i="1"/>
  <c r="S174" i="1"/>
  <c r="P174" i="1"/>
  <c r="U174" i="1" s="1"/>
  <c r="AG173" i="1"/>
  <c r="AF173" i="1"/>
  <c r="AE173" i="1"/>
  <c r="AD173" i="1"/>
  <c r="AC173" i="1"/>
  <c r="AB173" i="1"/>
  <c r="AA173" i="1"/>
  <c r="Y173" i="1"/>
  <c r="X173" i="1"/>
  <c r="W173" i="1"/>
  <c r="V173" i="1"/>
  <c r="U173" i="1"/>
  <c r="T173" i="1"/>
  <c r="S173" i="1"/>
  <c r="P173" i="1"/>
  <c r="Z173" i="1" s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P172" i="1"/>
  <c r="AG171" i="1"/>
  <c r="AF171" i="1"/>
  <c r="AE171" i="1"/>
  <c r="AD171" i="1"/>
  <c r="AC171" i="1"/>
  <c r="AB171" i="1"/>
  <c r="AA171" i="1"/>
  <c r="Y171" i="1"/>
  <c r="X171" i="1"/>
  <c r="W171" i="1"/>
  <c r="V171" i="1"/>
  <c r="T171" i="1"/>
  <c r="S171" i="1"/>
  <c r="P171" i="1"/>
  <c r="U171" i="1" s="1"/>
  <c r="AG170" i="1"/>
  <c r="AF170" i="1"/>
  <c r="AE170" i="1"/>
  <c r="AD170" i="1"/>
  <c r="AC170" i="1"/>
  <c r="AB170" i="1"/>
  <c r="AA170" i="1"/>
  <c r="Y170" i="1"/>
  <c r="X170" i="1"/>
  <c r="W170" i="1"/>
  <c r="V170" i="1"/>
  <c r="U170" i="1"/>
  <c r="T170" i="1"/>
  <c r="S170" i="1"/>
  <c r="P170" i="1"/>
  <c r="Z170" i="1" s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P169" i="1"/>
  <c r="AG168" i="1"/>
  <c r="AF168" i="1"/>
  <c r="AE168" i="1"/>
  <c r="AD168" i="1"/>
  <c r="AC168" i="1"/>
  <c r="AB168" i="1"/>
  <c r="AA168" i="1"/>
  <c r="Y168" i="1"/>
  <c r="X168" i="1"/>
  <c r="W168" i="1"/>
  <c r="V168" i="1"/>
  <c r="T168" i="1"/>
  <c r="S168" i="1"/>
  <c r="P168" i="1"/>
  <c r="U168" i="1" s="1"/>
  <c r="AG167" i="1"/>
  <c r="AF167" i="1"/>
  <c r="AE167" i="1"/>
  <c r="AD167" i="1"/>
  <c r="AC167" i="1"/>
  <c r="AB167" i="1"/>
  <c r="AA167" i="1"/>
  <c r="Y167" i="1"/>
  <c r="X167" i="1"/>
  <c r="W167" i="1"/>
  <c r="V167" i="1"/>
  <c r="U167" i="1"/>
  <c r="T167" i="1"/>
  <c r="S167" i="1"/>
  <c r="P167" i="1"/>
  <c r="Z167" i="1" s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P166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T165" i="1"/>
  <c r="S165" i="1"/>
  <c r="P165" i="1"/>
  <c r="U165" i="1" s="1"/>
  <c r="AG164" i="1"/>
  <c r="AF164" i="1"/>
  <c r="AE164" i="1"/>
  <c r="AD164" i="1"/>
  <c r="AC164" i="1"/>
  <c r="AB164" i="1"/>
  <c r="AA164" i="1"/>
  <c r="Y164" i="1"/>
  <c r="X164" i="1"/>
  <c r="W164" i="1"/>
  <c r="V164" i="1"/>
  <c r="U164" i="1"/>
  <c r="T164" i="1"/>
  <c r="S164" i="1"/>
  <c r="P164" i="1"/>
  <c r="Z164" i="1" s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P163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T162" i="1"/>
  <c r="S162" i="1"/>
  <c r="P162" i="1"/>
  <c r="U162" i="1" s="1"/>
  <c r="AG161" i="1"/>
  <c r="AF161" i="1"/>
  <c r="AE161" i="1"/>
  <c r="AD161" i="1"/>
  <c r="AC161" i="1"/>
  <c r="AB161" i="1"/>
  <c r="AA161" i="1"/>
  <c r="Y161" i="1"/>
  <c r="X161" i="1"/>
  <c r="W161" i="1"/>
  <c r="V161" i="1"/>
  <c r="U161" i="1"/>
  <c r="T161" i="1"/>
  <c r="S161" i="1"/>
  <c r="P161" i="1"/>
  <c r="Z161" i="1" s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P160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T159" i="1"/>
  <c r="S159" i="1"/>
  <c r="P159" i="1"/>
  <c r="U159" i="1" s="1"/>
  <c r="AG158" i="1"/>
  <c r="AF158" i="1"/>
  <c r="AE158" i="1"/>
  <c r="AD158" i="1"/>
  <c r="AC158" i="1"/>
  <c r="AB158" i="1"/>
  <c r="AA158" i="1"/>
  <c r="Y158" i="1"/>
  <c r="X158" i="1"/>
  <c r="W158" i="1"/>
  <c r="V158" i="1"/>
  <c r="U158" i="1"/>
  <c r="T158" i="1"/>
  <c r="S158" i="1"/>
  <c r="P158" i="1"/>
  <c r="Z158" i="1" s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P157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T156" i="1"/>
  <c r="S156" i="1"/>
  <c r="P156" i="1"/>
  <c r="U156" i="1" s="1"/>
  <c r="AG155" i="1"/>
  <c r="AF155" i="1"/>
  <c r="AE155" i="1"/>
  <c r="AD155" i="1"/>
  <c r="AC155" i="1"/>
  <c r="AB155" i="1"/>
  <c r="AA155" i="1"/>
  <c r="Y155" i="1"/>
  <c r="X155" i="1"/>
  <c r="W155" i="1"/>
  <c r="V155" i="1"/>
  <c r="U155" i="1"/>
  <c r="T155" i="1"/>
  <c r="S155" i="1"/>
  <c r="P155" i="1"/>
  <c r="Z155" i="1" s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P154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T153" i="1"/>
  <c r="S153" i="1"/>
  <c r="P153" i="1"/>
  <c r="U153" i="1" s="1"/>
  <c r="AG152" i="1"/>
  <c r="AF152" i="1"/>
  <c r="AE152" i="1"/>
  <c r="AD152" i="1"/>
  <c r="AC152" i="1"/>
  <c r="AB152" i="1"/>
  <c r="AA152" i="1"/>
  <c r="Y152" i="1"/>
  <c r="X152" i="1"/>
  <c r="W152" i="1"/>
  <c r="V152" i="1"/>
  <c r="U152" i="1"/>
  <c r="T152" i="1"/>
  <c r="S152" i="1"/>
  <c r="P152" i="1"/>
  <c r="Z152" i="1" s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P151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T150" i="1"/>
  <c r="S150" i="1"/>
  <c r="P150" i="1"/>
  <c r="U150" i="1" s="1"/>
  <c r="AG149" i="1"/>
  <c r="AF149" i="1"/>
  <c r="AE149" i="1"/>
  <c r="AD149" i="1"/>
  <c r="AC149" i="1"/>
  <c r="AB149" i="1"/>
  <c r="AA149" i="1"/>
  <c r="Y149" i="1"/>
  <c r="X149" i="1"/>
  <c r="W149" i="1"/>
  <c r="V149" i="1"/>
  <c r="U149" i="1"/>
  <c r="T149" i="1"/>
  <c r="S149" i="1"/>
  <c r="P149" i="1"/>
  <c r="Z149" i="1" s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P148" i="1"/>
  <c r="AG147" i="1"/>
  <c r="AF147" i="1"/>
  <c r="AE147" i="1"/>
  <c r="AD147" i="1"/>
  <c r="AC147" i="1"/>
  <c r="AA147" i="1"/>
  <c r="Z147" i="1"/>
  <c r="Y147" i="1"/>
  <c r="X147" i="1"/>
  <c r="W147" i="1"/>
  <c r="U147" i="1"/>
  <c r="T147" i="1"/>
  <c r="S147" i="1"/>
  <c r="P147" i="1"/>
  <c r="AB147" i="1" s="1"/>
  <c r="AG146" i="1"/>
  <c r="AF146" i="1"/>
  <c r="AE146" i="1"/>
  <c r="AD146" i="1"/>
  <c r="AC146" i="1"/>
  <c r="AB146" i="1"/>
  <c r="AA146" i="1"/>
  <c r="Z146" i="1"/>
  <c r="Y146" i="1"/>
  <c r="X146" i="1"/>
  <c r="W146" i="1"/>
  <c r="U146" i="1"/>
  <c r="T146" i="1"/>
  <c r="S146" i="1"/>
  <c r="P146" i="1"/>
  <c r="V146" i="1" s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P145" i="1"/>
  <c r="AG144" i="1"/>
  <c r="AF144" i="1"/>
  <c r="AE144" i="1"/>
  <c r="AD144" i="1"/>
  <c r="AC144" i="1"/>
  <c r="AB144" i="1"/>
  <c r="AA144" i="1"/>
  <c r="Z144" i="1"/>
  <c r="Y144" i="1"/>
  <c r="X144" i="1"/>
  <c r="W144" i="1"/>
  <c r="U144" i="1"/>
  <c r="T144" i="1"/>
  <c r="S144" i="1"/>
  <c r="P144" i="1"/>
  <c r="V144" i="1" s="1"/>
  <c r="AG143" i="1"/>
  <c r="AF143" i="1"/>
  <c r="AE143" i="1"/>
  <c r="AD143" i="1"/>
  <c r="AC143" i="1"/>
  <c r="AB143" i="1"/>
  <c r="AA143" i="1"/>
  <c r="Y143" i="1"/>
  <c r="X143" i="1"/>
  <c r="W143" i="1"/>
  <c r="U143" i="1"/>
  <c r="T143" i="1"/>
  <c r="S143" i="1"/>
  <c r="P143" i="1"/>
  <c r="V143" i="1" s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P142" i="1"/>
  <c r="AG141" i="1"/>
  <c r="AF141" i="1"/>
  <c r="AE141" i="1"/>
  <c r="AD141" i="1"/>
  <c r="AC141" i="1"/>
  <c r="AB141" i="1"/>
  <c r="AA141" i="1"/>
  <c r="Z141" i="1"/>
  <c r="Y141" i="1"/>
  <c r="X141" i="1"/>
  <c r="W141" i="1"/>
  <c r="U141" i="1"/>
  <c r="T141" i="1"/>
  <c r="S141" i="1"/>
  <c r="P141" i="1"/>
  <c r="V141" i="1" s="1"/>
  <c r="AG140" i="1"/>
  <c r="AF140" i="1"/>
  <c r="AE140" i="1"/>
  <c r="AD140" i="1"/>
  <c r="AC140" i="1"/>
  <c r="AB140" i="1"/>
  <c r="AA140" i="1"/>
  <c r="Y140" i="1"/>
  <c r="X140" i="1"/>
  <c r="W140" i="1"/>
  <c r="U140" i="1"/>
  <c r="T140" i="1"/>
  <c r="S140" i="1"/>
  <c r="P140" i="1"/>
  <c r="V140" i="1" s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P139" i="1"/>
  <c r="AG138" i="1"/>
  <c r="AF138" i="1"/>
  <c r="AE138" i="1"/>
  <c r="AD138" i="1"/>
  <c r="AC138" i="1"/>
  <c r="AB138" i="1"/>
  <c r="AA138" i="1"/>
  <c r="Z138" i="1"/>
  <c r="Y138" i="1"/>
  <c r="X138" i="1"/>
  <c r="W138" i="1"/>
  <c r="U138" i="1"/>
  <c r="T138" i="1"/>
  <c r="S138" i="1"/>
  <c r="P138" i="1"/>
  <c r="V138" i="1" s="1"/>
  <c r="AG137" i="1"/>
  <c r="AF137" i="1"/>
  <c r="AE137" i="1"/>
  <c r="AD137" i="1"/>
  <c r="AC137" i="1"/>
  <c r="AB137" i="1"/>
  <c r="AA137" i="1"/>
  <c r="Z137" i="1"/>
  <c r="Y137" i="1"/>
  <c r="X137" i="1"/>
  <c r="W137" i="1"/>
  <c r="U137" i="1"/>
  <c r="T137" i="1"/>
  <c r="S137" i="1"/>
  <c r="P137" i="1"/>
  <c r="V137" i="1" s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P136" i="1"/>
  <c r="AG135" i="1"/>
  <c r="AF135" i="1"/>
  <c r="AE135" i="1"/>
  <c r="AD135" i="1"/>
  <c r="AC135" i="1"/>
  <c r="AB135" i="1"/>
  <c r="AA135" i="1"/>
  <c r="Z135" i="1"/>
  <c r="Y135" i="1"/>
  <c r="X135" i="1"/>
  <c r="W135" i="1"/>
  <c r="U135" i="1"/>
  <c r="T135" i="1"/>
  <c r="S135" i="1"/>
  <c r="P135" i="1"/>
  <c r="V135" i="1" s="1"/>
  <c r="AG134" i="1"/>
  <c r="AF134" i="1"/>
  <c r="AE134" i="1"/>
  <c r="AD134" i="1"/>
  <c r="AC134" i="1"/>
  <c r="AB134" i="1"/>
  <c r="AA134" i="1"/>
  <c r="Z134" i="1"/>
  <c r="Y134" i="1"/>
  <c r="X134" i="1"/>
  <c r="W134" i="1"/>
  <c r="U134" i="1"/>
  <c r="T134" i="1"/>
  <c r="S134" i="1"/>
  <c r="P134" i="1"/>
  <c r="V134" i="1" s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P133" i="1"/>
  <c r="AG132" i="1"/>
  <c r="AF132" i="1"/>
  <c r="AE132" i="1"/>
  <c r="AD132" i="1"/>
  <c r="AC132" i="1"/>
  <c r="AB132" i="1"/>
  <c r="AA132" i="1"/>
  <c r="Z132" i="1"/>
  <c r="Y132" i="1"/>
  <c r="X132" i="1"/>
  <c r="W132" i="1"/>
  <c r="U132" i="1"/>
  <c r="T132" i="1"/>
  <c r="S132" i="1"/>
  <c r="P132" i="1"/>
  <c r="V132" i="1" s="1"/>
  <c r="AG131" i="1"/>
  <c r="AF131" i="1"/>
  <c r="AE131" i="1"/>
  <c r="AD131" i="1"/>
  <c r="AC131" i="1"/>
  <c r="AB131" i="1"/>
  <c r="AA131" i="1"/>
  <c r="Y131" i="1"/>
  <c r="X131" i="1"/>
  <c r="W131" i="1"/>
  <c r="V131" i="1"/>
  <c r="U131" i="1"/>
  <c r="T131" i="1"/>
  <c r="S131" i="1"/>
  <c r="P131" i="1"/>
  <c r="AG130" i="1"/>
  <c r="AF130" i="1"/>
  <c r="AE130" i="1"/>
  <c r="AD130" i="1"/>
  <c r="AC130" i="1"/>
  <c r="AB130" i="1"/>
  <c r="AA130" i="1"/>
  <c r="Z130" i="1"/>
  <c r="Y130" i="1"/>
  <c r="X130" i="1"/>
  <c r="W130" i="1"/>
  <c r="U130" i="1"/>
  <c r="T130" i="1"/>
  <c r="S130" i="1"/>
  <c r="P130" i="1"/>
  <c r="V130" i="1" s="1"/>
  <c r="AG129" i="1"/>
  <c r="AF129" i="1"/>
  <c r="AE129" i="1"/>
  <c r="AD129" i="1"/>
  <c r="AC129" i="1"/>
  <c r="AB129" i="1"/>
  <c r="AA129" i="1"/>
  <c r="Y129" i="1"/>
  <c r="X129" i="1"/>
  <c r="W129" i="1"/>
  <c r="V129" i="1"/>
  <c r="T129" i="1"/>
  <c r="S129" i="1"/>
  <c r="P129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P128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P127" i="1"/>
  <c r="AG126" i="1"/>
  <c r="AF126" i="1"/>
  <c r="AE126" i="1"/>
  <c r="AD126" i="1"/>
  <c r="AC126" i="1"/>
  <c r="AB126" i="1"/>
  <c r="AA126" i="1"/>
  <c r="Y126" i="1"/>
  <c r="X126" i="1"/>
  <c r="W126" i="1"/>
  <c r="V126" i="1"/>
  <c r="T126" i="1"/>
  <c r="S126" i="1"/>
  <c r="P126" i="1"/>
  <c r="AG125" i="1"/>
  <c r="AF125" i="1"/>
  <c r="AE125" i="1"/>
  <c r="AD125" i="1"/>
  <c r="AC125" i="1"/>
  <c r="AB125" i="1"/>
  <c r="AA125" i="1"/>
  <c r="Y125" i="1"/>
  <c r="X125" i="1"/>
  <c r="W125" i="1"/>
  <c r="V125" i="1"/>
  <c r="U125" i="1"/>
  <c r="T125" i="1"/>
  <c r="S125" i="1"/>
  <c r="P125" i="1"/>
  <c r="AG124" i="1"/>
  <c r="AF124" i="1"/>
  <c r="AE124" i="1"/>
  <c r="AD124" i="1"/>
  <c r="AC124" i="1"/>
  <c r="AB124" i="1"/>
  <c r="AA124" i="1"/>
  <c r="Y124" i="1"/>
  <c r="X124" i="1"/>
  <c r="W124" i="1"/>
  <c r="V124" i="1"/>
  <c r="U124" i="1"/>
  <c r="S124" i="1"/>
  <c r="P124" i="1"/>
  <c r="T124" i="1" s="1"/>
  <c r="AG123" i="1"/>
  <c r="AF123" i="1"/>
  <c r="AE123" i="1"/>
  <c r="AD123" i="1"/>
  <c r="AC123" i="1"/>
  <c r="AB123" i="1"/>
  <c r="AA123" i="1"/>
  <c r="Y123" i="1"/>
  <c r="X123" i="1"/>
  <c r="W123" i="1"/>
  <c r="V123" i="1"/>
  <c r="U123" i="1"/>
  <c r="T123" i="1"/>
  <c r="S123" i="1"/>
  <c r="P123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T122" i="1"/>
  <c r="S122" i="1"/>
  <c r="P122" i="1"/>
  <c r="U122" i="1" s="1"/>
  <c r="AG121" i="1"/>
  <c r="AF121" i="1"/>
  <c r="AE121" i="1"/>
  <c r="AD121" i="1"/>
  <c r="AC121" i="1"/>
  <c r="AB121" i="1"/>
  <c r="AA121" i="1"/>
  <c r="Y121" i="1"/>
  <c r="X121" i="1"/>
  <c r="W121" i="1"/>
  <c r="V121" i="1"/>
  <c r="T121" i="1"/>
  <c r="S121" i="1"/>
  <c r="P121" i="1"/>
  <c r="U121" i="1" s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P120" i="1"/>
  <c r="AG119" i="1"/>
  <c r="AF119" i="1"/>
  <c r="AE119" i="1"/>
  <c r="AD119" i="1"/>
  <c r="AC119" i="1"/>
  <c r="AB119" i="1"/>
  <c r="AA119" i="1"/>
  <c r="Z119" i="1"/>
  <c r="Y119" i="1"/>
  <c r="X119" i="1"/>
  <c r="W119" i="1"/>
  <c r="U119" i="1"/>
  <c r="T119" i="1"/>
  <c r="S119" i="1"/>
  <c r="P119" i="1"/>
  <c r="V119" i="1" s="1"/>
  <c r="AG118" i="1"/>
  <c r="AF118" i="1"/>
  <c r="AE118" i="1"/>
  <c r="AD118" i="1"/>
  <c r="AC118" i="1"/>
  <c r="AB118" i="1"/>
  <c r="AA118" i="1"/>
  <c r="Y118" i="1"/>
  <c r="X118" i="1"/>
  <c r="W118" i="1"/>
  <c r="U118" i="1"/>
  <c r="T118" i="1"/>
  <c r="S118" i="1"/>
  <c r="P118" i="1"/>
  <c r="V118" i="1" s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P117" i="1"/>
  <c r="AG116" i="1"/>
  <c r="AF116" i="1"/>
  <c r="AE116" i="1"/>
  <c r="AD116" i="1"/>
  <c r="AC116" i="1"/>
  <c r="AB116" i="1"/>
  <c r="AA116" i="1"/>
  <c r="Z116" i="1"/>
  <c r="Y116" i="1"/>
  <c r="X116" i="1"/>
  <c r="W116" i="1"/>
  <c r="U116" i="1"/>
  <c r="T116" i="1"/>
  <c r="S116" i="1"/>
  <c r="P116" i="1"/>
  <c r="V116" i="1" s="1"/>
  <c r="AG115" i="1"/>
  <c r="AF115" i="1"/>
  <c r="AE115" i="1"/>
  <c r="AD115" i="1"/>
  <c r="AC115" i="1"/>
  <c r="AB115" i="1"/>
  <c r="AA115" i="1"/>
  <c r="Y115" i="1"/>
  <c r="X115" i="1"/>
  <c r="W115" i="1"/>
  <c r="U115" i="1"/>
  <c r="T115" i="1"/>
  <c r="S115" i="1"/>
  <c r="P115" i="1"/>
  <c r="V115" i="1" s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P114" i="1"/>
  <c r="AG113" i="1"/>
  <c r="AF113" i="1"/>
  <c r="AE113" i="1"/>
  <c r="AD113" i="1"/>
  <c r="AC113" i="1"/>
  <c r="AB113" i="1"/>
  <c r="AA113" i="1"/>
  <c r="Z113" i="1"/>
  <c r="Y113" i="1"/>
  <c r="X113" i="1"/>
  <c r="W113" i="1"/>
  <c r="U113" i="1"/>
  <c r="T113" i="1"/>
  <c r="S113" i="1"/>
  <c r="P113" i="1"/>
  <c r="V113" i="1" s="1"/>
  <c r="AG112" i="1"/>
  <c r="AF112" i="1"/>
  <c r="AE112" i="1"/>
  <c r="AD112" i="1"/>
  <c r="AC112" i="1"/>
  <c r="AB112" i="1"/>
  <c r="AA112" i="1"/>
  <c r="Y112" i="1"/>
  <c r="X112" i="1"/>
  <c r="W112" i="1"/>
  <c r="U112" i="1"/>
  <c r="T112" i="1"/>
  <c r="S112" i="1"/>
  <c r="P112" i="1"/>
  <c r="V112" i="1" s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P111" i="1"/>
  <c r="AG110" i="1"/>
  <c r="AF110" i="1"/>
  <c r="AE110" i="1"/>
  <c r="AD110" i="1"/>
  <c r="AC110" i="1"/>
  <c r="AB110" i="1"/>
  <c r="AA110" i="1"/>
  <c r="Z110" i="1"/>
  <c r="Y110" i="1"/>
  <c r="X110" i="1"/>
  <c r="W110" i="1"/>
  <c r="U110" i="1"/>
  <c r="T110" i="1"/>
  <c r="S110" i="1"/>
  <c r="P110" i="1"/>
  <c r="V110" i="1" s="1"/>
  <c r="AG109" i="1"/>
  <c r="AF109" i="1"/>
  <c r="AE109" i="1"/>
  <c r="AD109" i="1"/>
  <c r="AC109" i="1"/>
  <c r="AB109" i="1"/>
  <c r="AA109" i="1"/>
  <c r="Y109" i="1"/>
  <c r="X109" i="1"/>
  <c r="W109" i="1"/>
  <c r="U109" i="1"/>
  <c r="T109" i="1"/>
  <c r="S109" i="1"/>
  <c r="P109" i="1"/>
  <c r="V109" i="1" s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P108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T107" i="1"/>
  <c r="S107" i="1"/>
  <c r="P107" i="1"/>
  <c r="U107" i="1" s="1"/>
  <c r="AG106" i="1"/>
  <c r="AF106" i="1"/>
  <c r="AE106" i="1"/>
  <c r="AD106" i="1"/>
  <c r="AC106" i="1"/>
  <c r="AB106" i="1"/>
  <c r="AA106" i="1"/>
  <c r="Z106" i="1"/>
  <c r="Y106" i="1"/>
  <c r="X106" i="1"/>
  <c r="W106" i="1"/>
  <c r="U106" i="1"/>
  <c r="T106" i="1"/>
  <c r="S106" i="1"/>
  <c r="P106" i="1"/>
  <c r="V106" i="1" s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P105" i="1"/>
  <c r="AG104" i="1"/>
  <c r="AF104" i="1"/>
  <c r="AE104" i="1"/>
  <c r="AD104" i="1"/>
  <c r="AC104" i="1"/>
  <c r="AB104" i="1"/>
  <c r="AA104" i="1"/>
  <c r="Z104" i="1"/>
  <c r="Y104" i="1"/>
  <c r="X104" i="1"/>
  <c r="W104" i="1"/>
  <c r="U104" i="1"/>
  <c r="T104" i="1"/>
  <c r="S104" i="1"/>
  <c r="P104" i="1"/>
  <c r="V104" i="1" s="1"/>
  <c r="AG103" i="1"/>
  <c r="AF103" i="1"/>
  <c r="AE103" i="1"/>
  <c r="AD103" i="1"/>
  <c r="AC103" i="1"/>
  <c r="AB103" i="1"/>
  <c r="AA103" i="1"/>
  <c r="Y103" i="1"/>
  <c r="X103" i="1"/>
  <c r="W103" i="1"/>
  <c r="U103" i="1"/>
  <c r="T103" i="1"/>
  <c r="S103" i="1"/>
  <c r="P103" i="1"/>
  <c r="V103" i="1" s="1"/>
  <c r="AG102" i="1"/>
  <c r="AF102" i="1"/>
  <c r="AE102" i="1"/>
  <c r="AD102" i="1"/>
  <c r="AC102" i="1"/>
  <c r="AB102" i="1"/>
  <c r="AA102" i="1"/>
  <c r="Y102" i="1"/>
  <c r="X102" i="1"/>
  <c r="W102" i="1"/>
  <c r="V102" i="1"/>
  <c r="U102" i="1"/>
  <c r="T102" i="1"/>
  <c r="S102" i="1"/>
  <c r="P102" i="1"/>
  <c r="AG101" i="1"/>
  <c r="AF101" i="1"/>
  <c r="AE101" i="1"/>
  <c r="AD101" i="1"/>
  <c r="AC101" i="1"/>
  <c r="AB101" i="1"/>
  <c r="AA101" i="1"/>
  <c r="Y101" i="1"/>
  <c r="X101" i="1"/>
  <c r="W101" i="1"/>
  <c r="V101" i="1"/>
  <c r="U101" i="1"/>
  <c r="S101" i="1"/>
  <c r="P101" i="1"/>
  <c r="T101" i="1" s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P100" i="1"/>
  <c r="AG99" i="1"/>
  <c r="AF99" i="1"/>
  <c r="AE99" i="1"/>
  <c r="AD99" i="1"/>
  <c r="AC99" i="1"/>
  <c r="AB99" i="1"/>
  <c r="AA99" i="1"/>
  <c r="Z99" i="1"/>
  <c r="Y99" i="1"/>
  <c r="X99" i="1"/>
  <c r="W99" i="1"/>
  <c r="V99" i="1"/>
  <c r="T99" i="1"/>
  <c r="S99" i="1"/>
  <c r="P99" i="1"/>
  <c r="U99" i="1" s="1"/>
  <c r="AG98" i="1"/>
  <c r="AF98" i="1"/>
  <c r="AE98" i="1"/>
  <c r="AD98" i="1"/>
  <c r="AC98" i="1"/>
  <c r="AB98" i="1"/>
  <c r="AA98" i="1"/>
  <c r="Y98" i="1"/>
  <c r="X98" i="1"/>
  <c r="W98" i="1"/>
  <c r="V98" i="1"/>
  <c r="T98" i="1"/>
  <c r="S98" i="1"/>
  <c r="P98" i="1"/>
  <c r="U98" i="1" s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P97" i="1"/>
  <c r="AG96" i="1"/>
  <c r="AF96" i="1"/>
  <c r="AE96" i="1"/>
  <c r="AD96" i="1"/>
  <c r="AC96" i="1"/>
  <c r="AB96" i="1"/>
  <c r="AA96" i="1"/>
  <c r="Z96" i="1"/>
  <c r="Y96" i="1"/>
  <c r="X96" i="1"/>
  <c r="W96" i="1"/>
  <c r="V96" i="1"/>
  <c r="T96" i="1"/>
  <c r="S96" i="1"/>
  <c r="P96" i="1"/>
  <c r="U96" i="1" s="1"/>
  <c r="AG95" i="1"/>
  <c r="AF95" i="1"/>
  <c r="AE95" i="1"/>
  <c r="AD95" i="1"/>
  <c r="AC95" i="1"/>
  <c r="AB95" i="1"/>
  <c r="AA95" i="1"/>
  <c r="Y95" i="1"/>
  <c r="X95" i="1"/>
  <c r="W95" i="1"/>
  <c r="V95" i="1"/>
  <c r="T95" i="1"/>
  <c r="S95" i="1"/>
  <c r="P95" i="1"/>
  <c r="U95" i="1" s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P94" i="1"/>
  <c r="AG93" i="1"/>
  <c r="AF93" i="1"/>
  <c r="AE93" i="1"/>
  <c r="AD93" i="1"/>
  <c r="AC93" i="1"/>
  <c r="AB93" i="1"/>
  <c r="Z93" i="1"/>
  <c r="Y93" i="1"/>
  <c r="X93" i="1"/>
  <c r="W93" i="1"/>
  <c r="V93" i="1"/>
  <c r="T93" i="1"/>
  <c r="S93" i="1"/>
  <c r="P93" i="1"/>
  <c r="AA93" i="1" s="1"/>
  <c r="AG92" i="1"/>
  <c r="AF92" i="1"/>
  <c r="AE92" i="1"/>
  <c r="AD92" i="1"/>
  <c r="AC92" i="1"/>
  <c r="AB92" i="1"/>
  <c r="Z92" i="1"/>
  <c r="Y92" i="1"/>
  <c r="X92" i="1"/>
  <c r="W92" i="1"/>
  <c r="V92" i="1"/>
  <c r="T92" i="1"/>
  <c r="S92" i="1"/>
  <c r="P92" i="1"/>
  <c r="AA92" i="1" s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P91" i="1"/>
  <c r="AG90" i="1"/>
  <c r="AF90" i="1"/>
  <c r="AE90" i="1"/>
  <c r="AD90" i="1"/>
  <c r="AC90" i="1"/>
  <c r="AB90" i="1"/>
  <c r="Z90" i="1"/>
  <c r="Y90" i="1"/>
  <c r="X90" i="1"/>
  <c r="W90" i="1"/>
  <c r="V90" i="1"/>
  <c r="T90" i="1"/>
  <c r="S90" i="1"/>
  <c r="P90" i="1"/>
  <c r="AA90" i="1" s="1"/>
  <c r="AG89" i="1"/>
  <c r="AF89" i="1"/>
  <c r="AE89" i="1"/>
  <c r="AD89" i="1"/>
  <c r="AC89" i="1"/>
  <c r="AB89" i="1"/>
  <c r="Z89" i="1"/>
  <c r="Y89" i="1"/>
  <c r="X89" i="1"/>
  <c r="W89" i="1"/>
  <c r="V89" i="1"/>
  <c r="T89" i="1"/>
  <c r="S89" i="1"/>
  <c r="P89" i="1"/>
  <c r="AA89" i="1" s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P88" i="1"/>
  <c r="AG87" i="1"/>
  <c r="AF87" i="1"/>
  <c r="AE87" i="1"/>
  <c r="AD87" i="1"/>
  <c r="AC87" i="1"/>
  <c r="AB87" i="1"/>
  <c r="Z87" i="1"/>
  <c r="Y87" i="1"/>
  <c r="X87" i="1"/>
  <c r="W87" i="1"/>
  <c r="V87" i="1"/>
  <c r="T87" i="1"/>
  <c r="S87" i="1"/>
  <c r="P87" i="1"/>
  <c r="AA87" i="1" s="1"/>
  <c r="AG86" i="1"/>
  <c r="AF86" i="1"/>
  <c r="AE86" i="1"/>
  <c r="AD86" i="1"/>
  <c r="AC86" i="1"/>
  <c r="AA86" i="1"/>
  <c r="Z86" i="1"/>
  <c r="Y86" i="1"/>
  <c r="X86" i="1"/>
  <c r="W86" i="1"/>
  <c r="V86" i="1"/>
  <c r="T86" i="1"/>
  <c r="S86" i="1"/>
  <c r="P86" i="1"/>
  <c r="AB86" i="1" s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P85" i="1"/>
  <c r="AG84" i="1"/>
  <c r="AF84" i="1"/>
  <c r="AE84" i="1"/>
  <c r="AD84" i="1"/>
  <c r="AC84" i="1"/>
  <c r="AA84" i="1"/>
  <c r="Z84" i="1"/>
  <c r="Y84" i="1"/>
  <c r="X84" i="1"/>
  <c r="W84" i="1"/>
  <c r="V84" i="1"/>
  <c r="T84" i="1"/>
  <c r="S84" i="1"/>
  <c r="P84" i="1"/>
  <c r="U84" i="1" s="1"/>
  <c r="AG83" i="1"/>
  <c r="AF83" i="1"/>
  <c r="AE83" i="1"/>
  <c r="AD83" i="1"/>
  <c r="AC83" i="1"/>
  <c r="AA83" i="1"/>
  <c r="Z83" i="1"/>
  <c r="Y83" i="1"/>
  <c r="X83" i="1"/>
  <c r="W83" i="1"/>
  <c r="V83" i="1"/>
  <c r="T83" i="1"/>
  <c r="S83" i="1"/>
  <c r="P83" i="1"/>
  <c r="AB83" i="1" s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P82" i="1"/>
  <c r="AG81" i="1"/>
  <c r="AF81" i="1"/>
  <c r="AE81" i="1"/>
  <c r="AD81" i="1"/>
  <c r="AC81" i="1"/>
  <c r="AB81" i="1"/>
  <c r="Z81" i="1"/>
  <c r="Y81" i="1"/>
  <c r="X81" i="1"/>
  <c r="W81" i="1"/>
  <c r="V81" i="1"/>
  <c r="T81" i="1"/>
  <c r="S81" i="1"/>
  <c r="P81" i="1"/>
  <c r="AA81" i="1" s="1"/>
  <c r="AG80" i="1"/>
  <c r="AF80" i="1"/>
  <c r="AE80" i="1"/>
  <c r="AD80" i="1"/>
  <c r="AC80" i="1"/>
  <c r="AB80" i="1"/>
  <c r="Z80" i="1"/>
  <c r="Y80" i="1"/>
  <c r="X80" i="1"/>
  <c r="W80" i="1"/>
  <c r="V80" i="1"/>
  <c r="T80" i="1"/>
  <c r="S80" i="1"/>
  <c r="P80" i="1"/>
  <c r="AA80" i="1" s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P79" i="1"/>
  <c r="AG78" i="1"/>
  <c r="AF78" i="1"/>
  <c r="AE78" i="1"/>
  <c r="AD78" i="1"/>
  <c r="AC78" i="1"/>
  <c r="AB78" i="1"/>
  <c r="Z78" i="1"/>
  <c r="Y78" i="1"/>
  <c r="X78" i="1"/>
  <c r="W78" i="1"/>
  <c r="V78" i="1"/>
  <c r="T78" i="1"/>
  <c r="S78" i="1"/>
  <c r="P78" i="1"/>
  <c r="AA78" i="1" s="1"/>
  <c r="AG77" i="1"/>
  <c r="AF77" i="1"/>
  <c r="AE77" i="1"/>
  <c r="AD77" i="1"/>
  <c r="AC77" i="1"/>
  <c r="AB77" i="1"/>
  <c r="Z77" i="1"/>
  <c r="Y77" i="1"/>
  <c r="X77" i="1"/>
  <c r="W77" i="1"/>
  <c r="V77" i="1"/>
  <c r="T77" i="1"/>
  <c r="S77" i="1"/>
  <c r="P77" i="1"/>
  <c r="AA77" i="1" s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P76" i="1"/>
  <c r="AG75" i="1"/>
  <c r="AF75" i="1"/>
  <c r="AE75" i="1"/>
  <c r="AD75" i="1"/>
  <c r="AC75" i="1"/>
  <c r="AB75" i="1"/>
  <c r="Z75" i="1"/>
  <c r="Y75" i="1"/>
  <c r="X75" i="1"/>
  <c r="W75" i="1"/>
  <c r="V75" i="1"/>
  <c r="T75" i="1"/>
  <c r="S75" i="1"/>
  <c r="P75" i="1"/>
  <c r="AA75" i="1" s="1"/>
  <c r="AG74" i="1"/>
  <c r="AF74" i="1"/>
  <c r="AE74" i="1"/>
  <c r="AD74" i="1"/>
  <c r="AC74" i="1"/>
  <c r="AB74" i="1"/>
  <c r="AA74" i="1"/>
  <c r="Y74" i="1"/>
  <c r="X74" i="1"/>
  <c r="W74" i="1"/>
  <c r="V74" i="1"/>
  <c r="T74" i="1"/>
  <c r="S74" i="1"/>
  <c r="P74" i="1"/>
  <c r="U74" i="1" s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P73" i="1"/>
  <c r="AG72" i="1"/>
  <c r="AF72" i="1"/>
  <c r="AE72" i="1"/>
  <c r="AD72" i="1"/>
  <c r="AC72" i="1"/>
  <c r="AB72" i="1"/>
  <c r="AA72" i="1"/>
  <c r="Z72" i="1"/>
  <c r="Y72" i="1"/>
  <c r="X72" i="1"/>
  <c r="W72" i="1"/>
  <c r="V72" i="1"/>
  <c r="T72" i="1"/>
  <c r="S72" i="1"/>
  <c r="P72" i="1"/>
  <c r="U72" i="1" s="1"/>
  <c r="AG71" i="1"/>
  <c r="AF71" i="1"/>
  <c r="AE71" i="1"/>
  <c r="AD71" i="1"/>
  <c r="AC71" i="1"/>
  <c r="AB71" i="1"/>
  <c r="AA71" i="1"/>
  <c r="Y71" i="1"/>
  <c r="X71" i="1"/>
  <c r="W71" i="1"/>
  <c r="V71" i="1"/>
  <c r="T71" i="1"/>
  <c r="S71" i="1"/>
  <c r="P71" i="1"/>
  <c r="U71" i="1" s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P70" i="1"/>
  <c r="AG69" i="1"/>
  <c r="AF69" i="1"/>
  <c r="AE69" i="1"/>
  <c r="AD69" i="1"/>
  <c r="AC69" i="1"/>
  <c r="AB69" i="1"/>
  <c r="AA69" i="1"/>
  <c r="Z69" i="1"/>
  <c r="Y69" i="1"/>
  <c r="X69" i="1"/>
  <c r="W69" i="1"/>
  <c r="V69" i="1"/>
  <c r="T69" i="1"/>
  <c r="S69" i="1"/>
  <c r="P69" i="1"/>
  <c r="U69" i="1" s="1"/>
  <c r="AG68" i="1"/>
  <c r="AF68" i="1"/>
  <c r="AE68" i="1"/>
  <c r="AD68" i="1"/>
  <c r="AC68" i="1"/>
  <c r="AB68" i="1"/>
  <c r="AA68" i="1"/>
  <c r="Y68" i="1"/>
  <c r="X68" i="1"/>
  <c r="W68" i="1"/>
  <c r="V68" i="1"/>
  <c r="T68" i="1"/>
  <c r="S68" i="1"/>
  <c r="P68" i="1"/>
  <c r="U68" i="1" s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P67" i="1"/>
  <c r="AG66" i="1"/>
  <c r="AF66" i="1"/>
  <c r="AE66" i="1"/>
  <c r="AD66" i="1"/>
  <c r="AC66" i="1"/>
  <c r="AB66" i="1"/>
  <c r="AA66" i="1"/>
  <c r="Z66" i="1"/>
  <c r="Y66" i="1"/>
  <c r="X66" i="1"/>
  <c r="W66" i="1"/>
  <c r="V66" i="1"/>
  <c r="T66" i="1"/>
  <c r="S66" i="1"/>
  <c r="P66" i="1"/>
  <c r="U66" i="1" s="1"/>
  <c r="AG65" i="1"/>
  <c r="AF65" i="1"/>
  <c r="AE65" i="1"/>
  <c r="AD65" i="1"/>
  <c r="AC65" i="1"/>
  <c r="AB65" i="1"/>
  <c r="AA65" i="1"/>
  <c r="Y65" i="1"/>
  <c r="X65" i="1"/>
  <c r="W65" i="1"/>
  <c r="V65" i="1"/>
  <c r="T65" i="1"/>
  <c r="S65" i="1"/>
  <c r="P65" i="1"/>
  <c r="U65" i="1" s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P64" i="1"/>
  <c r="AG63" i="1"/>
  <c r="AF63" i="1"/>
  <c r="AE63" i="1"/>
  <c r="AD63" i="1"/>
  <c r="AC63" i="1"/>
  <c r="AB63" i="1"/>
  <c r="AA63" i="1"/>
  <c r="Z63" i="1"/>
  <c r="Y63" i="1"/>
  <c r="X63" i="1"/>
  <c r="W63" i="1"/>
  <c r="V63" i="1"/>
  <c r="T63" i="1"/>
  <c r="S63" i="1"/>
  <c r="P63" i="1"/>
  <c r="U63" i="1" s="1"/>
  <c r="AG62" i="1"/>
  <c r="AF62" i="1"/>
  <c r="AE62" i="1"/>
  <c r="AD62" i="1"/>
  <c r="AC62" i="1"/>
  <c r="AB62" i="1"/>
  <c r="AA62" i="1"/>
  <c r="Y62" i="1"/>
  <c r="X62" i="1"/>
  <c r="W62" i="1"/>
  <c r="V62" i="1"/>
  <c r="T62" i="1"/>
  <c r="S62" i="1"/>
  <c r="P62" i="1"/>
  <c r="U62" i="1" s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P61" i="1"/>
  <c r="AG60" i="1"/>
  <c r="AF60" i="1"/>
  <c r="AE60" i="1"/>
  <c r="AD60" i="1"/>
  <c r="AC60" i="1"/>
  <c r="AB60" i="1"/>
  <c r="AA60" i="1"/>
  <c r="Z60" i="1"/>
  <c r="Y60" i="1"/>
  <c r="X60" i="1"/>
  <c r="W60" i="1"/>
  <c r="V60" i="1"/>
  <c r="T60" i="1"/>
  <c r="S60" i="1"/>
  <c r="P60" i="1"/>
  <c r="U60" i="1" s="1"/>
  <c r="AG59" i="1"/>
  <c r="AF59" i="1"/>
  <c r="AE59" i="1"/>
  <c r="AD59" i="1"/>
  <c r="AC59" i="1"/>
  <c r="AB59" i="1"/>
  <c r="AA59" i="1"/>
  <c r="Y59" i="1"/>
  <c r="X59" i="1"/>
  <c r="W59" i="1"/>
  <c r="V59" i="1"/>
  <c r="T59" i="1"/>
  <c r="S59" i="1"/>
  <c r="P59" i="1"/>
  <c r="U59" i="1" s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P58" i="1"/>
  <c r="AG57" i="1"/>
  <c r="AF57" i="1"/>
  <c r="AE57" i="1"/>
  <c r="AD57" i="1"/>
  <c r="AC57" i="1"/>
  <c r="AB57" i="1"/>
  <c r="AA57" i="1"/>
  <c r="Z57" i="1"/>
  <c r="Y57" i="1"/>
  <c r="X57" i="1"/>
  <c r="W57" i="1"/>
  <c r="V57" i="1"/>
  <c r="T57" i="1"/>
  <c r="S57" i="1"/>
  <c r="P57" i="1"/>
  <c r="U57" i="1" s="1"/>
  <c r="AG56" i="1"/>
  <c r="AF56" i="1"/>
  <c r="AE56" i="1"/>
  <c r="AD56" i="1"/>
  <c r="AC56" i="1"/>
  <c r="AB56" i="1"/>
  <c r="AA56" i="1"/>
  <c r="Y56" i="1"/>
  <c r="X56" i="1"/>
  <c r="W56" i="1"/>
  <c r="V56" i="1"/>
  <c r="T56" i="1"/>
  <c r="S56" i="1"/>
  <c r="P56" i="1"/>
  <c r="U56" i="1" s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P55" i="1"/>
  <c r="AG54" i="1"/>
  <c r="AF54" i="1"/>
  <c r="AE54" i="1"/>
  <c r="AD54" i="1"/>
  <c r="AC54" i="1"/>
  <c r="AB54" i="1"/>
  <c r="AA54" i="1"/>
  <c r="Z54" i="1"/>
  <c r="Y54" i="1"/>
  <c r="X54" i="1"/>
  <c r="W54" i="1"/>
  <c r="V54" i="1"/>
  <c r="T54" i="1"/>
  <c r="S54" i="1"/>
  <c r="P54" i="1"/>
  <c r="U54" i="1" s="1"/>
  <c r="AG53" i="1"/>
  <c r="AF53" i="1"/>
  <c r="AE53" i="1"/>
  <c r="AD53" i="1"/>
  <c r="AC53" i="1"/>
  <c r="AB53" i="1"/>
  <c r="AA53" i="1"/>
  <c r="Y53" i="1"/>
  <c r="X53" i="1"/>
  <c r="W53" i="1"/>
  <c r="V53" i="1"/>
  <c r="T53" i="1"/>
  <c r="S53" i="1"/>
  <c r="P53" i="1"/>
  <c r="U53" i="1" s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P52" i="1"/>
  <c r="AG51" i="1"/>
  <c r="AF51" i="1"/>
  <c r="AE51" i="1"/>
  <c r="AD51" i="1"/>
  <c r="AC51" i="1"/>
  <c r="AB51" i="1"/>
  <c r="AA51" i="1"/>
  <c r="Z51" i="1"/>
  <c r="Y51" i="1"/>
  <c r="X51" i="1"/>
  <c r="W51" i="1"/>
  <c r="V51" i="1"/>
  <c r="T51" i="1"/>
  <c r="S51" i="1"/>
  <c r="P51" i="1"/>
  <c r="U51" i="1" s="1"/>
  <c r="AG50" i="1"/>
  <c r="AF50" i="1"/>
  <c r="AE50" i="1"/>
  <c r="AD50" i="1"/>
  <c r="AC50" i="1"/>
  <c r="AB50" i="1"/>
  <c r="AA50" i="1"/>
  <c r="Y50" i="1"/>
  <c r="X50" i="1"/>
  <c r="W50" i="1"/>
  <c r="V50" i="1"/>
  <c r="T50" i="1"/>
  <c r="S50" i="1"/>
  <c r="P50" i="1"/>
  <c r="U50" i="1" s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P49" i="1"/>
  <c r="AG48" i="1"/>
  <c r="AF48" i="1"/>
  <c r="AE48" i="1"/>
  <c r="AD48" i="1"/>
  <c r="AC48" i="1"/>
  <c r="AB48" i="1"/>
  <c r="AA48" i="1"/>
  <c r="Z48" i="1"/>
  <c r="Y48" i="1"/>
  <c r="X48" i="1"/>
  <c r="W48" i="1"/>
  <c r="V48" i="1"/>
  <c r="T48" i="1"/>
  <c r="S48" i="1"/>
  <c r="P48" i="1"/>
  <c r="U48" i="1" s="1"/>
  <c r="AG47" i="1"/>
  <c r="AF47" i="1"/>
  <c r="AE47" i="1"/>
  <c r="AD47" i="1"/>
  <c r="AC47" i="1"/>
  <c r="AB47" i="1"/>
  <c r="AA47" i="1"/>
  <c r="Y47" i="1"/>
  <c r="X47" i="1"/>
  <c r="W47" i="1"/>
  <c r="V47" i="1"/>
  <c r="T47" i="1"/>
  <c r="S47" i="1"/>
  <c r="P47" i="1"/>
  <c r="U47" i="1" s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P46" i="1"/>
  <c r="AG45" i="1"/>
  <c r="AF45" i="1"/>
  <c r="AE45" i="1"/>
  <c r="AD45" i="1"/>
  <c r="AC45" i="1"/>
  <c r="AB45" i="1"/>
  <c r="AA45" i="1"/>
  <c r="Z45" i="1"/>
  <c r="Y45" i="1"/>
  <c r="X45" i="1"/>
  <c r="W45" i="1"/>
  <c r="V45" i="1"/>
  <c r="T45" i="1"/>
  <c r="S45" i="1"/>
  <c r="P45" i="1"/>
  <c r="U45" i="1" s="1"/>
  <c r="AG44" i="1"/>
  <c r="AF44" i="1"/>
  <c r="AE44" i="1"/>
  <c r="AD44" i="1"/>
  <c r="AC44" i="1"/>
  <c r="AB44" i="1"/>
  <c r="AA44" i="1"/>
  <c r="Y44" i="1"/>
  <c r="X44" i="1"/>
  <c r="W44" i="1"/>
  <c r="V44" i="1"/>
  <c r="T44" i="1"/>
  <c r="S44" i="1"/>
  <c r="P44" i="1"/>
  <c r="U44" i="1" s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P43" i="1"/>
  <c r="AG42" i="1"/>
  <c r="AF42" i="1"/>
  <c r="AE42" i="1"/>
  <c r="AD42" i="1"/>
  <c r="AC42" i="1"/>
  <c r="AB42" i="1"/>
  <c r="AA42" i="1"/>
  <c r="Z42" i="1"/>
  <c r="Y42" i="1"/>
  <c r="X42" i="1"/>
  <c r="W42" i="1"/>
  <c r="V42" i="1"/>
  <c r="T42" i="1"/>
  <c r="S42" i="1"/>
  <c r="P42" i="1"/>
  <c r="U42" i="1" s="1"/>
  <c r="AG41" i="1"/>
  <c r="AF41" i="1"/>
  <c r="AE41" i="1"/>
  <c r="AD41" i="1"/>
  <c r="AC41" i="1"/>
  <c r="AB41" i="1"/>
  <c r="AA41" i="1"/>
  <c r="Y41" i="1"/>
  <c r="X41" i="1"/>
  <c r="W41" i="1"/>
  <c r="V41" i="1"/>
  <c r="T41" i="1"/>
  <c r="S41" i="1"/>
  <c r="P41" i="1"/>
  <c r="U41" i="1" s="1"/>
  <c r="AG40" i="1"/>
  <c r="AF40" i="1"/>
  <c r="AE40" i="1"/>
  <c r="AD40" i="1"/>
  <c r="AC40" i="1"/>
  <c r="AB40" i="1"/>
  <c r="AA40" i="1"/>
  <c r="Y40" i="1"/>
  <c r="X40" i="1"/>
  <c r="W40" i="1"/>
  <c r="V40" i="1"/>
  <c r="T40" i="1"/>
  <c r="S40" i="1"/>
  <c r="P40" i="1"/>
  <c r="Z40" i="1" s="1"/>
  <c r="AG39" i="1"/>
  <c r="AF39" i="1"/>
  <c r="AE39" i="1"/>
  <c r="AD39" i="1"/>
  <c r="AC39" i="1"/>
  <c r="AB39" i="1"/>
  <c r="AA39" i="1"/>
  <c r="Z39" i="1"/>
  <c r="Y39" i="1"/>
  <c r="X39" i="1"/>
  <c r="W39" i="1"/>
  <c r="V39" i="1"/>
  <c r="T39" i="1"/>
  <c r="S39" i="1"/>
  <c r="P39" i="1"/>
  <c r="U39" i="1" s="1"/>
  <c r="AG38" i="1"/>
  <c r="AF38" i="1"/>
  <c r="AE38" i="1"/>
  <c r="AD38" i="1"/>
  <c r="AC38" i="1"/>
  <c r="AB38" i="1"/>
  <c r="AA38" i="1"/>
  <c r="Z38" i="1"/>
  <c r="Y38" i="1"/>
  <c r="X38" i="1"/>
  <c r="W38" i="1"/>
  <c r="U38" i="1"/>
  <c r="T38" i="1"/>
  <c r="S38" i="1"/>
  <c r="P38" i="1"/>
  <c r="V38" i="1" s="1"/>
  <c r="AG37" i="1"/>
  <c r="AF37" i="1"/>
  <c r="AE37" i="1"/>
  <c r="AD37" i="1"/>
  <c r="AC37" i="1"/>
  <c r="AB37" i="1"/>
  <c r="AA37" i="1"/>
  <c r="Y37" i="1"/>
  <c r="X37" i="1"/>
  <c r="W37" i="1"/>
  <c r="U37" i="1"/>
  <c r="T37" i="1"/>
  <c r="S37" i="1"/>
  <c r="P37" i="1"/>
  <c r="AG36" i="1"/>
  <c r="AF36" i="1"/>
  <c r="AE36" i="1"/>
  <c r="AD36" i="1"/>
  <c r="AC36" i="1"/>
  <c r="AB36" i="1"/>
  <c r="AA36" i="1"/>
  <c r="Z36" i="1"/>
  <c r="Y36" i="1"/>
  <c r="X36" i="1"/>
  <c r="W36" i="1"/>
  <c r="V36" i="1"/>
  <c r="T36" i="1"/>
  <c r="S36" i="1"/>
  <c r="P36" i="1"/>
  <c r="U36" i="1" s="1"/>
  <c r="AG35" i="1"/>
  <c r="AF35" i="1"/>
  <c r="AE35" i="1"/>
  <c r="AD35" i="1"/>
  <c r="AC35" i="1"/>
  <c r="AB35" i="1"/>
  <c r="AA35" i="1"/>
  <c r="Z35" i="1"/>
  <c r="Y35" i="1"/>
  <c r="X35" i="1"/>
  <c r="W35" i="1"/>
  <c r="U35" i="1"/>
  <c r="T35" i="1"/>
  <c r="S35" i="1"/>
  <c r="P35" i="1"/>
  <c r="V35" i="1" s="1"/>
  <c r="AG34" i="1"/>
  <c r="AF34" i="1"/>
  <c r="AE34" i="1"/>
  <c r="AD34" i="1"/>
  <c r="AC34" i="1"/>
  <c r="AB34" i="1"/>
  <c r="AA34" i="1"/>
  <c r="Y34" i="1"/>
  <c r="X34" i="1"/>
  <c r="W34" i="1"/>
  <c r="V34" i="1"/>
  <c r="U34" i="1"/>
  <c r="T34" i="1"/>
  <c r="S34" i="1"/>
  <c r="P34" i="1"/>
  <c r="AG33" i="1"/>
  <c r="AF33" i="1"/>
  <c r="AE33" i="1"/>
  <c r="AD33" i="1"/>
  <c r="AC33" i="1"/>
  <c r="AB33" i="1"/>
  <c r="AA33" i="1"/>
  <c r="Y33" i="1"/>
  <c r="X33" i="1"/>
  <c r="W33" i="1"/>
  <c r="V33" i="1"/>
  <c r="U33" i="1"/>
  <c r="T33" i="1"/>
  <c r="S33" i="1"/>
  <c r="P33" i="1"/>
  <c r="AG32" i="1"/>
  <c r="AF32" i="1"/>
  <c r="AE32" i="1"/>
  <c r="AD32" i="1"/>
  <c r="AC32" i="1"/>
  <c r="AB32" i="1"/>
  <c r="AA32" i="1"/>
  <c r="Y32" i="1"/>
  <c r="X32" i="1"/>
  <c r="W32" i="1"/>
  <c r="V32" i="1"/>
  <c r="U32" i="1"/>
  <c r="T32" i="1"/>
  <c r="S32" i="1"/>
  <c r="P32" i="1"/>
  <c r="AG31" i="1"/>
  <c r="AF31" i="1"/>
  <c r="AE31" i="1"/>
  <c r="AD31" i="1"/>
  <c r="AC31" i="1"/>
  <c r="AB31" i="1"/>
  <c r="AA31" i="1"/>
  <c r="Y31" i="1"/>
  <c r="X31" i="1"/>
  <c r="W31" i="1"/>
  <c r="V31" i="1"/>
  <c r="T31" i="1"/>
  <c r="S31" i="1"/>
  <c r="P31" i="1"/>
  <c r="Z31" i="1" s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P30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P29" i="1"/>
  <c r="AG28" i="1"/>
  <c r="AF28" i="1"/>
  <c r="AE28" i="1"/>
  <c r="AD28" i="1"/>
  <c r="AC28" i="1"/>
  <c r="AB28" i="1"/>
  <c r="AA28" i="1"/>
  <c r="Y28" i="1"/>
  <c r="X28" i="1"/>
  <c r="W28" i="1"/>
  <c r="V28" i="1"/>
  <c r="U28" i="1"/>
  <c r="T28" i="1"/>
  <c r="S28" i="1"/>
  <c r="P28" i="1"/>
  <c r="Z28" i="1" s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P27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P26" i="1"/>
  <c r="AG25" i="1"/>
  <c r="AF25" i="1"/>
  <c r="AE25" i="1"/>
  <c r="AD25" i="1"/>
  <c r="AC25" i="1"/>
  <c r="AB25" i="1"/>
  <c r="AA25" i="1"/>
  <c r="Y25" i="1"/>
  <c r="X25" i="1"/>
  <c r="W25" i="1"/>
  <c r="U25" i="1"/>
  <c r="T25" i="1"/>
  <c r="S25" i="1"/>
  <c r="P25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P24" i="1"/>
  <c r="AG23" i="1"/>
  <c r="AF23" i="1"/>
  <c r="AE23" i="1"/>
  <c r="AD23" i="1"/>
  <c r="AC23" i="1"/>
  <c r="AB23" i="1"/>
  <c r="AA23" i="1"/>
  <c r="Z23" i="1"/>
  <c r="Y23" i="1"/>
  <c r="X23" i="1"/>
  <c r="W23" i="1"/>
  <c r="U23" i="1"/>
  <c r="T23" i="1"/>
  <c r="S23" i="1"/>
  <c r="P23" i="1"/>
  <c r="V23" i="1" s="1"/>
  <c r="AG22" i="1"/>
  <c r="AF22" i="1"/>
  <c r="AE22" i="1"/>
  <c r="AD22" i="1"/>
  <c r="AC22" i="1"/>
  <c r="AB22" i="1"/>
  <c r="AA22" i="1"/>
  <c r="Y22" i="1"/>
  <c r="X22" i="1"/>
  <c r="W22" i="1"/>
  <c r="U22" i="1"/>
  <c r="T22" i="1"/>
  <c r="S22" i="1"/>
  <c r="P22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P21" i="1"/>
  <c r="AG20" i="1"/>
  <c r="AF20" i="1"/>
  <c r="AE20" i="1"/>
  <c r="AD20" i="1"/>
  <c r="AC20" i="1"/>
  <c r="AB20" i="1"/>
  <c r="AA20" i="1"/>
  <c r="Z20" i="1"/>
  <c r="Y20" i="1"/>
  <c r="X20" i="1"/>
  <c r="W20" i="1"/>
  <c r="U20" i="1"/>
  <c r="T20" i="1"/>
  <c r="S20" i="1"/>
  <c r="P20" i="1"/>
  <c r="V20" i="1" s="1"/>
  <c r="AG19" i="1"/>
  <c r="AF19" i="1"/>
  <c r="AE19" i="1"/>
  <c r="AD19" i="1"/>
  <c r="AC19" i="1"/>
  <c r="AB19" i="1"/>
  <c r="AA19" i="1"/>
  <c r="Y19" i="1"/>
  <c r="X19" i="1"/>
  <c r="W19" i="1"/>
  <c r="U19" i="1"/>
  <c r="T19" i="1"/>
  <c r="S19" i="1"/>
  <c r="P19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P18" i="1"/>
  <c r="AG17" i="1"/>
  <c r="AF17" i="1"/>
  <c r="AE17" i="1"/>
  <c r="AD17" i="1"/>
  <c r="AC17" i="1"/>
  <c r="AB17" i="1"/>
  <c r="AA17" i="1"/>
  <c r="Z17" i="1"/>
  <c r="Y17" i="1"/>
  <c r="X17" i="1"/>
  <c r="W17" i="1"/>
  <c r="U17" i="1"/>
  <c r="T17" i="1"/>
  <c r="S17" i="1"/>
  <c r="P17" i="1"/>
  <c r="V17" i="1" s="1"/>
  <c r="AG16" i="1"/>
  <c r="AF16" i="1"/>
  <c r="AE16" i="1"/>
  <c r="AD16" i="1"/>
  <c r="AC16" i="1"/>
  <c r="AB16" i="1"/>
  <c r="AA16" i="1"/>
  <c r="Z16" i="1"/>
  <c r="Y16" i="1"/>
  <c r="X16" i="1"/>
  <c r="W16" i="1"/>
  <c r="U16" i="1"/>
  <c r="T16" i="1"/>
  <c r="S16" i="1"/>
  <c r="P16" i="1"/>
  <c r="V16" i="1" s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P15" i="1"/>
  <c r="AG14" i="1"/>
  <c r="AF14" i="1"/>
  <c r="AE14" i="1"/>
  <c r="AD14" i="1"/>
  <c r="AC14" i="1"/>
  <c r="AB14" i="1"/>
  <c r="AA14" i="1"/>
  <c r="Z14" i="1"/>
  <c r="Y14" i="1"/>
  <c r="X14" i="1"/>
  <c r="W14" i="1"/>
  <c r="U14" i="1"/>
  <c r="T14" i="1"/>
  <c r="S14" i="1"/>
  <c r="P14" i="1"/>
  <c r="V14" i="1" s="1"/>
  <c r="AG13" i="1"/>
  <c r="AF13" i="1"/>
  <c r="AE13" i="1"/>
  <c r="AD13" i="1"/>
  <c r="AC13" i="1"/>
  <c r="AB13" i="1"/>
  <c r="AA13" i="1"/>
  <c r="Y13" i="1"/>
  <c r="X13" i="1"/>
  <c r="W13" i="1"/>
  <c r="V13" i="1"/>
  <c r="U13" i="1"/>
  <c r="T13" i="1"/>
  <c r="S13" i="1"/>
  <c r="P13" i="1"/>
  <c r="Z13" i="1" s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P12" i="1"/>
  <c r="AG11" i="1"/>
  <c r="AF11" i="1"/>
  <c r="AE11" i="1"/>
  <c r="AD11" i="1"/>
  <c r="AC11" i="1"/>
  <c r="AB11" i="1"/>
  <c r="AA11" i="1"/>
  <c r="Z11" i="1"/>
  <c r="Y11" i="1"/>
  <c r="X11" i="1"/>
  <c r="W11" i="1"/>
  <c r="U11" i="1"/>
  <c r="T11" i="1"/>
  <c r="S11" i="1"/>
  <c r="P11" i="1"/>
  <c r="V11" i="1" s="1"/>
  <c r="AG10" i="1"/>
  <c r="AF10" i="1"/>
  <c r="AE10" i="1"/>
  <c r="AD10" i="1"/>
  <c r="AC10" i="1"/>
  <c r="AB10" i="1"/>
  <c r="AA10" i="1"/>
  <c r="Y10" i="1"/>
  <c r="X10" i="1"/>
  <c r="W10" i="1"/>
  <c r="V10" i="1"/>
  <c r="U10" i="1"/>
  <c r="T10" i="1"/>
  <c r="S10" i="1"/>
  <c r="P10" i="1"/>
  <c r="Z10" i="1" s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P9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P8" i="1"/>
  <c r="AG7" i="1"/>
  <c r="AF7" i="1"/>
  <c r="AE7" i="1"/>
  <c r="AD7" i="1"/>
  <c r="AC7" i="1"/>
  <c r="AB7" i="1"/>
  <c r="AA7" i="1"/>
  <c r="Y7" i="1"/>
  <c r="X7" i="1"/>
  <c r="W7" i="1"/>
  <c r="U7" i="1"/>
  <c r="T7" i="1"/>
  <c r="S7" i="1"/>
  <c r="P7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P6" i="1"/>
  <c r="Z7" i="1" l="1"/>
  <c r="V7" i="1"/>
  <c r="U40" i="1"/>
  <c r="Z126" i="1"/>
  <c r="U126" i="1"/>
  <c r="Z22" i="1"/>
  <c r="V22" i="1"/>
  <c r="V37" i="1"/>
  <c r="Z37" i="1"/>
  <c r="Z19" i="1"/>
  <c r="V19" i="1"/>
  <c r="Z25" i="1"/>
  <c r="V25" i="1"/>
  <c r="U31" i="1"/>
  <c r="Z129" i="1"/>
  <c r="U129" i="1"/>
  <c r="Z41" i="1"/>
  <c r="Z44" i="1"/>
  <c r="Z47" i="1"/>
  <c r="Z50" i="1"/>
  <c r="Z53" i="1"/>
  <c r="Z56" i="1"/>
  <c r="Z59" i="1"/>
  <c r="Z62" i="1"/>
  <c r="Z65" i="1"/>
  <c r="Z68" i="1"/>
  <c r="Z71" i="1"/>
  <c r="Z74" i="1"/>
  <c r="AB84" i="1"/>
  <c r="Z95" i="1"/>
  <c r="Z98" i="1"/>
  <c r="Z103" i="1"/>
  <c r="Z109" i="1"/>
  <c r="Z112" i="1"/>
  <c r="Z115" i="1"/>
  <c r="Z118" i="1"/>
  <c r="Z121" i="1"/>
  <c r="Z140" i="1"/>
  <c r="Z143" i="1"/>
  <c r="V147" i="1"/>
  <c r="Z216" i="1"/>
  <c r="V225" i="1"/>
  <c r="Z227" i="1"/>
  <c r="V228" i="1"/>
  <c r="V234" i="1"/>
  <c r="V252" i="1"/>
  <c r="Z254" i="1"/>
  <c r="V255" i="1"/>
  <c r="V258" i="1"/>
  <c r="V261" i="1"/>
  <c r="V264" i="1"/>
  <c r="V267" i="1"/>
  <c r="V270" i="1"/>
  <c r="V273" i="1"/>
  <c r="Z275" i="1"/>
  <c r="U77" i="1"/>
  <c r="U80" i="1"/>
  <c r="U83" i="1"/>
  <c r="U86" i="1"/>
  <c r="U89" i="1"/>
  <c r="U92" i="1"/>
  <c r="AA269" i="1"/>
  <c r="X246" i="1"/>
  <c r="V260" i="1"/>
  <c r="Z168" i="1"/>
  <c r="Z171" i="1"/>
  <c r="Z174" i="1"/>
  <c r="Z177" i="1"/>
  <c r="Z180" i="1"/>
  <c r="Z183" i="1"/>
  <c r="Z186" i="1"/>
  <c r="Z189" i="1"/>
  <c r="Z231" i="1"/>
  <c r="Z237" i="1"/>
  <c r="Z240" i="1"/>
  <c r="Z243" i="1"/>
  <c r="U75" i="1"/>
  <c r="U78" i="1"/>
  <c r="U81" i="1"/>
  <c r="U87" i="1"/>
  <c r="U90" i="1"/>
  <c r="U93" i="1"/>
  <c r="U192" i="1"/>
  <c r="U195" i="1"/>
  <c r="U198" i="1"/>
  <c r="U201" i="1"/>
  <c r="U204" i="1"/>
  <c r="U214" i="1"/>
</calcChain>
</file>

<file path=xl/sharedStrings.xml><?xml version="1.0" encoding="utf-8"?>
<sst xmlns="http://schemas.openxmlformats.org/spreadsheetml/2006/main" count="860" uniqueCount="364">
  <si>
    <t>REGISTRO DONATIVOS EN ESPECIE 2025</t>
  </si>
  <si>
    <t>1 Aportaciones por familia</t>
  </si>
  <si>
    <t>2 Empresas con recibo</t>
  </si>
  <si>
    <t>3 Empresas sin recibo</t>
  </si>
  <si>
    <t>4 Particulares</t>
  </si>
  <si>
    <t xml:space="preserve"> 5 Fundaciones</t>
  </si>
  <si>
    <t>6 Universidades</t>
  </si>
  <si>
    <t>7 Gobierno</t>
  </si>
  <si>
    <t>Total por donativo</t>
  </si>
  <si>
    <t>Total con descuento</t>
  </si>
  <si>
    <t>Tipo de Donativo por Benefactor</t>
  </si>
  <si>
    <t>Datos del Donador</t>
  </si>
  <si>
    <t>Recolección del Donativo</t>
  </si>
  <si>
    <t>Donativo</t>
  </si>
  <si>
    <t>Ref</t>
  </si>
  <si>
    <t>Porcentaje
 Descuento</t>
  </si>
  <si>
    <t>Tipo de Donativo</t>
  </si>
  <si>
    <t>Nombre Completo</t>
  </si>
  <si>
    <t>Celular / Telefono</t>
  </si>
  <si>
    <t>Correo</t>
  </si>
  <si>
    <t>Día y Año de Nacimiento</t>
  </si>
  <si>
    <t>Dirección</t>
  </si>
  <si>
    <t>Fecha</t>
  </si>
  <si>
    <t>Hora</t>
  </si>
  <si>
    <t>Nombre del que recibio</t>
  </si>
  <si>
    <t>Cantidad</t>
  </si>
  <si>
    <t>Unidad</t>
  </si>
  <si>
    <t>Descripción</t>
  </si>
  <si>
    <t>Precio Unitario</t>
  </si>
  <si>
    <t>Precio Total</t>
  </si>
  <si>
    <t>Aportaciones por familia</t>
  </si>
  <si>
    <t>Empresas con recibo</t>
  </si>
  <si>
    <t>Empresas sin recibo</t>
  </si>
  <si>
    <t>Particulares</t>
  </si>
  <si>
    <t>Fundaciones</t>
  </si>
  <si>
    <t>Universidades</t>
  </si>
  <si>
    <t>Gobierno</t>
  </si>
  <si>
    <t>alimentos</t>
  </si>
  <si>
    <t>art. limp.</t>
  </si>
  <si>
    <t>art. aseo per</t>
  </si>
  <si>
    <t>Papelería</t>
  </si>
  <si>
    <t>Art. de vestir</t>
  </si>
  <si>
    <t xml:space="preserve">juguetes y recreación </t>
  </si>
  <si>
    <t>decoración y blancos</t>
  </si>
  <si>
    <t>mob y equipo</t>
  </si>
  <si>
    <t>Yaressi</t>
  </si>
  <si>
    <t>piezas</t>
  </si>
  <si>
    <t>Regalos Navideños</t>
  </si>
  <si>
    <t>Tía de Yaressi</t>
  </si>
  <si>
    <t>ristras</t>
  </si>
  <si>
    <t>chorizo 500 grs</t>
  </si>
  <si>
    <t>Papas San Rafael</t>
  </si>
  <si>
    <t>caja</t>
  </si>
  <si>
    <t>tomate</t>
  </si>
  <si>
    <t>costal</t>
  </si>
  <si>
    <t>papas</t>
  </si>
  <si>
    <t>paquetes</t>
  </si>
  <si>
    <t>tamales</t>
  </si>
  <si>
    <t>Tomás González</t>
  </si>
  <si>
    <t>Tortillas San Gerardo</t>
  </si>
  <si>
    <t>kilos</t>
  </si>
  <si>
    <t>tortilla de maiz</t>
  </si>
  <si>
    <t>Mutualidad de Allende</t>
  </si>
  <si>
    <t>huevo</t>
  </si>
  <si>
    <t>Delfina Rodriguez Reyes</t>
  </si>
  <si>
    <t>pasteles</t>
  </si>
  <si>
    <t>Sagrario Garza</t>
  </si>
  <si>
    <t>cajas con 12</t>
  </si>
  <si>
    <t>leche tetrpack</t>
  </si>
  <si>
    <t>porron 10 litros</t>
  </si>
  <si>
    <t>detergente ñiquido</t>
  </si>
  <si>
    <t>galón</t>
  </si>
  <si>
    <t>aceite soya</t>
  </si>
  <si>
    <t>Pap'as Psicologo Miguel Casas</t>
  </si>
  <si>
    <t>litros</t>
  </si>
  <si>
    <t>leche</t>
  </si>
  <si>
    <t>galletas 164 gr</t>
  </si>
  <si>
    <t>avena</t>
  </si>
  <si>
    <t xml:space="preserve">cajas </t>
  </si>
  <si>
    <t>cereal</t>
  </si>
  <si>
    <t>pechuga de pollo</t>
  </si>
  <si>
    <t>pan blanco marinita</t>
  </si>
  <si>
    <t>bolsas</t>
  </si>
  <si>
    <t>donitas</t>
  </si>
  <si>
    <t>baguette</t>
  </si>
  <si>
    <t>Sandra Sánchez</t>
  </si>
  <si>
    <t>pasteles de quequitos</t>
  </si>
  <si>
    <t>Olga Vega</t>
  </si>
  <si>
    <t>rosca</t>
  </si>
  <si>
    <t>cajas c/6</t>
  </si>
  <si>
    <t>Muffins</t>
  </si>
  <si>
    <t>pollo entero</t>
  </si>
  <si>
    <t>Silvia Herrera Tortitrigo</t>
  </si>
  <si>
    <t>tortilla harina regular</t>
  </si>
  <si>
    <t>tortilla harina taquera</t>
  </si>
  <si>
    <t>gordita harina para rellenar</t>
  </si>
  <si>
    <t>Mariana Tamez</t>
  </si>
  <si>
    <t>cajas</t>
  </si>
  <si>
    <t>Cruz Roja / Carolina Hernández</t>
  </si>
  <si>
    <t>Cepillo de dientes</t>
  </si>
  <si>
    <t>Sarai Alvarado</t>
  </si>
  <si>
    <t>rosca de reyes</t>
  </si>
  <si>
    <t>refresco 2.5 litros</t>
  </si>
  <si>
    <t>Tortillas San Gregorio</t>
  </si>
  <si>
    <t>Altea Desarrollos</t>
  </si>
  <si>
    <t>sobre zuko 13 g</t>
  </si>
  <si>
    <t>spaguetti 200 gr</t>
  </si>
  <si>
    <t>latas</t>
  </si>
  <si>
    <t>elote 400 gr</t>
  </si>
  <si>
    <t>ensalada campesina 400 gr</t>
  </si>
  <si>
    <t>chicharos 220 gr</t>
  </si>
  <si>
    <t>leche condensada 375 gr</t>
  </si>
  <si>
    <t>atun 125 gr</t>
  </si>
  <si>
    <t>frijol ranch 220 gr</t>
  </si>
  <si>
    <t>elote 220 gr</t>
  </si>
  <si>
    <t>frijol 908 gr</t>
  </si>
  <si>
    <t>tetrapack</t>
  </si>
  <si>
    <t>pure de tomate 100 gr</t>
  </si>
  <si>
    <t xml:space="preserve">aceite de cartamo </t>
  </si>
  <si>
    <t>pure de tomate 1 kilo</t>
  </si>
  <si>
    <t>frijoles refritos de 430 gr</t>
  </si>
  <si>
    <t>maseca para tamal</t>
  </si>
  <si>
    <t>maseca para tortilla</t>
  </si>
  <si>
    <t>avena instantanea con 12 sobres</t>
  </si>
  <si>
    <t>azucar refinada</t>
  </si>
  <si>
    <t>arroz 690 gr</t>
  </si>
  <si>
    <t>arroz 750 gr</t>
  </si>
  <si>
    <t>arroz 900 gr</t>
  </si>
  <si>
    <t>cdo liso no 2 200 gr</t>
  </si>
  <si>
    <t>fideo cabray 200 gr</t>
  </si>
  <si>
    <t>pure de tomate 345 gr</t>
  </si>
  <si>
    <t>frijol 750 gr</t>
  </si>
  <si>
    <t>zuko 130 gr</t>
  </si>
  <si>
    <t>pasta pluma 200 gr</t>
  </si>
  <si>
    <t>pasta estrella 200 gr</t>
  </si>
  <si>
    <t>linguini 200 gr</t>
  </si>
  <si>
    <t>sopas instantaneas 100 gr</t>
  </si>
  <si>
    <t>café soluble 205 gr</t>
  </si>
  <si>
    <t>escobas</t>
  </si>
  <si>
    <t>trapeadores</t>
  </si>
  <si>
    <t>cepillo inodoro</t>
  </si>
  <si>
    <t>porrón</t>
  </si>
  <si>
    <t>gel sanitizante d 10 litros</t>
  </si>
  <si>
    <t>alta espuma</t>
  </si>
  <si>
    <t>recogedores</t>
  </si>
  <si>
    <t>rastrillos para piso y ventanas</t>
  </si>
  <si>
    <t>toallas humedas con 80 piezas</t>
  </si>
  <si>
    <t>pasta de dients de 80 ml</t>
  </si>
  <si>
    <t>shampoo de 750 ml</t>
  </si>
  <si>
    <t>jabón barra 120 gr</t>
  </si>
  <si>
    <t>desodorante 65ml</t>
  </si>
  <si>
    <t>axiión lavatrastes de 400 ml</t>
  </si>
  <si>
    <t>detergente en polvo 1 kilo</t>
  </si>
  <si>
    <t>detergente en polvo de 800 gr</t>
  </si>
  <si>
    <t>rollos de papel higienico</t>
  </si>
  <si>
    <t>pinol 2 litro</t>
  </si>
  <si>
    <t>flash de 1 litro</t>
  </si>
  <si>
    <t>rollo papel higiénico para porta rollo</t>
  </si>
  <si>
    <t>cloro de 950 ml</t>
  </si>
  <si>
    <t>Molienda La Esquina</t>
  </si>
  <si>
    <t>pan de elote</t>
  </si>
  <si>
    <t>Carnes Finas San Juan / José Luis BArajas</t>
  </si>
  <si>
    <t>carne molida</t>
  </si>
  <si>
    <t>Papas San Rafel</t>
  </si>
  <si>
    <t>Tortllas San Gerardo</t>
  </si>
  <si>
    <t>tortlla maiz</t>
  </si>
  <si>
    <t>tortilla harina</t>
  </si>
  <si>
    <t>Tortilla de Harina regular</t>
  </si>
  <si>
    <t>Linnethe Martinez</t>
  </si>
  <si>
    <t>mayonesa 1.6k</t>
  </si>
  <si>
    <t>mostaza 3.7k</t>
  </si>
  <si>
    <t>catsup 3.8 k</t>
  </si>
  <si>
    <t>Rodrigo Romero</t>
  </si>
  <si>
    <t>sábanas</t>
  </si>
  <si>
    <t>Curitas de Amor /Zareth Garcia</t>
  </si>
  <si>
    <t>Pbro. Gerardo Valdéz</t>
  </si>
  <si>
    <t>Nutrileche</t>
  </si>
  <si>
    <t>Chocomilk</t>
  </si>
  <si>
    <t>Rosca Reyes</t>
  </si>
  <si>
    <t>Daniela Escalante / Roberto Ibarra</t>
  </si>
  <si>
    <t>despensa c/20 productos</t>
  </si>
  <si>
    <t>Sarahi Alvarado</t>
  </si>
  <si>
    <t>biscoff 1 kilo</t>
  </si>
  <si>
    <t>Macma Parisien Surtida</t>
  </si>
  <si>
    <t>galleta danesa 454 gr</t>
  </si>
  <si>
    <t>galleta danesa 114 gr</t>
  </si>
  <si>
    <t xml:space="preserve">latas </t>
  </si>
  <si>
    <t>barquillo de 114 gr</t>
  </si>
  <si>
    <t>Biscotti de Almendras 1 kg</t>
  </si>
  <si>
    <t>shell 19 gr</t>
  </si>
  <si>
    <t>José Apolinar León</t>
  </si>
  <si>
    <t>naranja</t>
  </si>
  <si>
    <t>Tortilla Harina</t>
  </si>
  <si>
    <t>Tortilla Maiz</t>
  </si>
  <si>
    <t>Tortiregias</t>
  </si>
  <si>
    <t>Tostadas</t>
  </si>
  <si>
    <t>totopos</t>
  </si>
  <si>
    <t xml:space="preserve">costal </t>
  </si>
  <si>
    <t>Tortillas Delta</t>
  </si>
  <si>
    <t>tortilla Harina Burrito</t>
  </si>
  <si>
    <t>Juam Manuel Tellez</t>
  </si>
  <si>
    <t>Pollo</t>
  </si>
  <si>
    <t>Lic. Alejandra Barro</t>
  </si>
  <si>
    <t>Libretas Scribe</t>
  </si>
  <si>
    <t>borradore pelican c / 15</t>
  </si>
  <si>
    <t>hojas de máquina</t>
  </si>
  <si>
    <t>crayolas c/12 cajas</t>
  </si>
  <si>
    <t>laíz con 72 piezas</t>
  </si>
  <si>
    <t>lapiz de colores con 72 piezas</t>
  </si>
  <si>
    <t>plastilina</t>
  </si>
  <si>
    <t>sacapuntas dobles pengear</t>
  </si>
  <si>
    <t>nutrileche c/ 12</t>
  </si>
  <si>
    <t>cereal individual con 20 cajitas</t>
  </si>
  <si>
    <t>jugo del valle con 40 piezas</t>
  </si>
  <si>
    <t>bote</t>
  </si>
  <si>
    <t>cafe 300 gr</t>
  </si>
  <si>
    <t>azucar de 4 kilos</t>
  </si>
  <si>
    <t>toalla sanitaria kotex c/48</t>
  </si>
  <si>
    <t>rollo suavel c/ 48 piezas</t>
  </si>
  <si>
    <t>pasta crest con 6 piezas</t>
  </si>
  <si>
    <t>Ilse Aceromex</t>
  </si>
  <si>
    <t>chamberete</t>
  </si>
  <si>
    <t>Navid Alvarez / Aceromex</t>
  </si>
  <si>
    <t>leche lala</t>
  </si>
  <si>
    <t>leche great value</t>
  </si>
  <si>
    <t>leche nido de 3.3</t>
  </si>
  <si>
    <t>catsup 650 gr</t>
  </si>
  <si>
    <t>latas de atún 295 gr</t>
  </si>
  <si>
    <t>espaguetti moderna 250 gr</t>
  </si>
  <si>
    <t>fetuchini barila 500 gr</t>
  </si>
  <si>
    <t>fusilli great value 500 gr</t>
  </si>
  <si>
    <t>harina hotcakes games 700 gr</t>
  </si>
  <si>
    <t>harina hotcakes pronto 800 g</t>
  </si>
  <si>
    <t>harina de trigo 1 kilo</t>
  </si>
  <si>
    <t>frijol pinto de 900 gr</t>
  </si>
  <si>
    <t>arroz verde valle de 900 gr</t>
  </si>
  <si>
    <t>frijol negro refrito great value 430 gr</t>
  </si>
  <si>
    <t>coditos con queso moderna 200 gr</t>
  </si>
  <si>
    <t>sopa instantanea fideo moderna 200 gr</t>
  </si>
  <si>
    <t>sopa instantanea coditosmoderna 200 gr</t>
  </si>
  <si>
    <t>flan pronto 136 gr</t>
  </si>
  <si>
    <t>sobres</t>
  </si>
  <si>
    <t>gelatina jello 25 gr</t>
  </si>
  <si>
    <t>tang 13 gr</t>
  </si>
  <si>
    <t>nestea 13 gr</t>
  </si>
  <si>
    <t>jugos de manzana frlorida 7 200 ml</t>
  </si>
  <si>
    <t>ensalada de verduras 400 gr</t>
  </si>
  <si>
    <t>elotes de 400 gr</t>
  </si>
  <si>
    <t>galleta salada 504 gr</t>
  </si>
  <si>
    <t>galleta maravilla 46 gr</t>
  </si>
  <si>
    <t>galleta limon great value 700 gr</t>
  </si>
  <si>
    <t>galleta barra de coco 400 gr</t>
  </si>
  <si>
    <t>galleta oreo 252 gr</t>
  </si>
  <si>
    <t>galleta chispas de chocolate GV 228 gr</t>
  </si>
  <si>
    <t>galleta chokis 399 gr</t>
  </si>
  <si>
    <t>Barritas de fresa 268 gr</t>
  </si>
  <si>
    <t>Cereal Cheerios 400 gr</t>
  </si>
  <si>
    <t>Cereal Corn bites GV 490 gr</t>
  </si>
  <si>
    <t>Cereal Azucaradas GV 490 gr</t>
  </si>
  <si>
    <t>Aceite Nutrioli</t>
  </si>
  <si>
    <t>Jugo Jumez Durazno de 1.89 Litros</t>
  </si>
  <si>
    <t>Florida 7 Mango de 946 ml</t>
  </si>
  <si>
    <t>Mayonesa McCormic 1.4 kg</t>
  </si>
  <si>
    <t>Pure de Tomate Costeña 1 kilo</t>
  </si>
  <si>
    <t>Jugo de NAranja Valle 946 ml</t>
  </si>
  <si>
    <t>Knorr de Pollo 136 gr</t>
  </si>
  <si>
    <t>Rollos Petalo Con 12</t>
  </si>
  <si>
    <t>Axión LAva Trastes 900 ml</t>
  </si>
  <si>
    <t>PAsta Dientes 80 ml caja con 6</t>
  </si>
  <si>
    <t>JAbón Zote 400 gr</t>
  </si>
  <si>
    <t>Jabón Zote 200 gr</t>
  </si>
  <si>
    <t>cepillo de dientes</t>
  </si>
  <si>
    <t>jabón para cuerpo c/ 4 120 gr c/u</t>
  </si>
  <si>
    <t>fibras</t>
  </si>
  <si>
    <t>toalla femenina saba ultra c/12</t>
  </si>
  <si>
    <t>cloro de 2 litros</t>
  </si>
  <si>
    <t>pinol de 2 litros</t>
  </si>
  <si>
    <t>jabón líquido p/ropa 4.65 litros</t>
  </si>
  <si>
    <t xml:space="preserve">rollo suavel c/24 </t>
  </si>
  <si>
    <t>Rollo Great VAlue c/12</t>
  </si>
  <si>
    <t>Rollo Great VAlue c/18</t>
  </si>
  <si>
    <t>fabuloso 5 litros</t>
  </si>
  <si>
    <t>Organización del Guadiana</t>
  </si>
  <si>
    <t>pzas</t>
  </si>
  <si>
    <t>Pan Pita</t>
  </si>
  <si>
    <t>Pan Mateo</t>
  </si>
  <si>
    <t>Baguette</t>
  </si>
  <si>
    <t>Brioche</t>
  </si>
  <si>
    <t>Astra Castillo</t>
  </si>
  <si>
    <t>atun 295 gr</t>
  </si>
  <si>
    <t>Gustavo Castillo</t>
  </si>
  <si>
    <t>cobertores</t>
  </si>
  <si>
    <t>Química Goncal</t>
  </si>
  <si>
    <t>pinol 20 L</t>
  </si>
  <si>
    <t>cloro 20 L</t>
  </si>
  <si>
    <t>Suavitel 20 L</t>
  </si>
  <si>
    <t>Ma Fernanda Garza Yruegas</t>
  </si>
  <si>
    <t>Catsup 680 gr</t>
  </si>
  <si>
    <t>chiles jalapeños 800 gr</t>
  </si>
  <si>
    <t>Mayonesa 887 ml</t>
  </si>
  <si>
    <t>Tortilla San Gerardo</t>
  </si>
  <si>
    <t>Carnes Finas San Juan</t>
  </si>
  <si>
    <t>Pollo (pierna y muslo)</t>
  </si>
  <si>
    <t>tortilla harina normal</t>
  </si>
  <si>
    <t>Tortilla de Harina para burrito</t>
  </si>
  <si>
    <t>Marcela Bosch</t>
  </si>
  <si>
    <t>Pimienta</t>
  </si>
  <si>
    <t>Comino</t>
  </si>
  <si>
    <t>Canela</t>
  </si>
  <si>
    <t>Carne de puerco</t>
  </si>
  <si>
    <t>Knorr de Pollo 330 gr</t>
  </si>
  <si>
    <t>tortilla maiz</t>
  </si>
  <si>
    <t>Ana Paola Torres URRE</t>
  </si>
  <si>
    <t>Zuko</t>
  </si>
  <si>
    <t>Grupo Vermex</t>
  </si>
  <si>
    <t>zanahoria</t>
  </si>
  <si>
    <t>Uva Verde</t>
  </si>
  <si>
    <t>Nopales</t>
  </si>
  <si>
    <t>Aguacate</t>
  </si>
  <si>
    <t>manojo</t>
  </si>
  <si>
    <t>Cilantro</t>
  </si>
  <si>
    <t>Brocoli</t>
  </si>
  <si>
    <t>Tomate</t>
  </si>
  <si>
    <t>Calabaza</t>
  </si>
  <si>
    <t>Plátano</t>
  </si>
  <si>
    <t>Acelga</t>
  </si>
  <si>
    <t>Escuela Secundaria Antonio Moreno</t>
  </si>
  <si>
    <t>pares</t>
  </si>
  <si>
    <t>tennis blanco</t>
  </si>
  <si>
    <t>Tortilla Harina  Burrito</t>
  </si>
  <si>
    <t>Tortilla Harina Normal</t>
  </si>
  <si>
    <t>Gordita para rellenar</t>
  </si>
  <si>
    <t>Tortilla harina Taquera</t>
  </si>
  <si>
    <t>Michelle Armendariz URRE</t>
  </si>
  <si>
    <t>botes</t>
  </si>
  <si>
    <t>Salsa Botanera</t>
  </si>
  <si>
    <t>Palomitas 1 K</t>
  </si>
  <si>
    <t>Palomitas 500 gr</t>
  </si>
  <si>
    <t>Fernanda Herrera DIF NL</t>
  </si>
  <si>
    <t>tamales con 15 pzas</t>
  </si>
  <si>
    <t>Karla Espino</t>
  </si>
  <si>
    <t>toallas humedas con 80</t>
  </si>
  <si>
    <t>Shampoo 400 ml</t>
  </si>
  <si>
    <t>Acondicionador 400ml</t>
  </si>
  <si>
    <t>Crema corporal 400 ml</t>
  </si>
  <si>
    <t>Crema corporal 100 ml</t>
  </si>
  <si>
    <t>desodorante 65 ml</t>
  </si>
  <si>
    <t>jabón corporal 90gr</t>
  </si>
  <si>
    <t>Pinol 5.1 L</t>
  </si>
  <si>
    <t>Detergente Liquido 3.5 L</t>
  </si>
  <si>
    <t>Lavatrastes 750ml</t>
  </si>
  <si>
    <t>Catsup</t>
  </si>
  <si>
    <t>Aceite 400 ml</t>
  </si>
  <si>
    <t>Mayonesa 730 gr</t>
  </si>
  <si>
    <t>Mayonesa 507 gr</t>
  </si>
  <si>
    <t>Suavizante para ropa 2.8 L</t>
  </si>
  <si>
    <t>Toallas de mano</t>
  </si>
  <si>
    <t>Dispensdores de jabón</t>
  </si>
  <si>
    <t>Ligas para el pelo</t>
  </si>
  <si>
    <t>Liguitas de colores</t>
  </si>
  <si>
    <t>Cotonetes con 100</t>
  </si>
  <si>
    <t>Paulina Chavarria URRE</t>
  </si>
  <si>
    <t>Catsup 1.13</t>
  </si>
  <si>
    <t>Mayonesa 1.73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</si>
</sst>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d/m/yyyy"/>
    <numFmt numFmtId="166" formatCode="d\ mmm\ yyyy"/>
    <numFmt numFmtId="167" formatCode="d\ mmmm\ yyyy"/>
  </numFmts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8"/>
      <color rgb="FF000000"/>
      <name val="Arial"/>
    </font>
    <font>
      <sz val="18"/>
      <color rgb="FF000000"/>
      <name val="Arial"/>
    </font>
    <font>
      <b/>
      <sz val="7"/>
      <color rgb="FF000000"/>
      <name val="Arial"/>
    </font>
    <font>
      <b/>
      <sz val="14"/>
      <color rgb="FF000000"/>
      <name val="Arial"/>
    </font>
    <font>
      <b/>
      <sz val="12"/>
      <color rgb="FF000000"/>
      <name val="Arial"/>
    </font>
    <font>
      <b/>
      <sz val="12"/>
      <color theme="1"/>
      <name val="Arial"/>
    </font>
    <font>
      <b/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2" borderId="0" xfId="0" applyNumberFormat="1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1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164" fontId="5" fillId="3" borderId="0" xfId="0" applyNumberFormat="1" applyFont="1" applyFill="1" applyAlignment="1">
      <alignment horizontal="center" wrapText="1"/>
    </xf>
    <xf numFmtId="4" fontId="5" fillId="3" borderId="0" xfId="0" applyNumberFormat="1" applyFont="1" applyFill="1" applyAlignment="1">
      <alignment horizontal="center" wrapText="1"/>
    </xf>
    <xf numFmtId="164" fontId="8" fillId="3" borderId="0" xfId="0" applyNumberFormat="1" applyFont="1" applyFill="1" applyAlignment="1">
      <alignment horizontal="center" wrapText="1"/>
    </xf>
    <xf numFmtId="164" fontId="9" fillId="3" borderId="0" xfId="0" applyNumberFormat="1" applyFont="1" applyFill="1"/>
    <xf numFmtId="0" fontId="10" fillId="3" borderId="0" xfId="0" applyFont="1" applyFill="1" applyAlignment="1">
      <alignment horizontal="center"/>
    </xf>
    <xf numFmtId="0" fontId="11" fillId="0" borderId="0" xfId="0" applyFont="1"/>
    <xf numFmtId="0" fontId="9" fillId="0" borderId="0" xfId="0" applyFont="1"/>
    <xf numFmtId="0" fontId="8" fillId="4" borderId="0" xfId="0" applyFont="1" applyFill="1" applyAlignment="1">
      <alignment horizontal="center" wrapText="1"/>
    </xf>
    <xf numFmtId="0" fontId="10" fillId="4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1" fontId="10" fillId="6" borderId="0" xfId="0" applyNumberFormat="1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2" fontId="10" fillId="6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right"/>
    </xf>
    <xf numFmtId="164" fontId="10" fillId="3" borderId="0" xfId="0" applyNumberFormat="1" applyFont="1" applyFill="1" applyAlignment="1">
      <alignment horizontal="center"/>
    </xf>
    <xf numFmtId="4" fontId="10" fillId="3" borderId="0" xfId="0" applyNumberFormat="1" applyFont="1" applyFill="1" applyAlignment="1">
      <alignment horizontal="center"/>
    </xf>
    <xf numFmtId="4" fontId="10" fillId="2" borderId="0" xfId="0" applyNumberFormat="1" applyFont="1" applyFill="1" applyAlignment="1">
      <alignment horizontal="center"/>
    </xf>
    <xf numFmtId="4" fontId="10" fillId="2" borderId="0" xfId="0" applyNumberFormat="1" applyFont="1" applyFill="1" applyAlignment="1">
      <alignment horizontal="center" wrapText="1"/>
    </xf>
    <xf numFmtId="4" fontId="10" fillId="2" borderId="0" xfId="0" applyNumberFormat="1" applyFont="1" applyFill="1"/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9" fillId="4" borderId="0" xfId="0" applyFont="1" applyFill="1"/>
    <xf numFmtId="0" fontId="9" fillId="4" borderId="0" xfId="0" applyFont="1" applyFill="1" applyAlignment="1">
      <alignment horizontal="right"/>
    </xf>
    <xf numFmtId="165" fontId="9" fillId="4" borderId="0" xfId="0" applyNumberFormat="1" applyFont="1" applyFill="1"/>
    <xf numFmtId="0" fontId="9" fillId="5" borderId="0" xfId="0" applyFont="1" applyFill="1"/>
    <xf numFmtId="166" fontId="9" fillId="5" borderId="0" xfId="0" applyNumberFormat="1" applyFont="1" applyFill="1" applyAlignment="1">
      <alignment horizontal="right"/>
    </xf>
    <xf numFmtId="1" fontId="9" fillId="6" borderId="0" xfId="0" applyNumberFormat="1" applyFont="1" applyFill="1" applyAlignment="1">
      <alignment horizontal="right"/>
    </xf>
    <xf numFmtId="0" fontId="9" fillId="6" borderId="0" xfId="0" applyFont="1" applyFill="1"/>
    <xf numFmtId="4" fontId="9" fillId="6" borderId="0" xfId="0" applyNumberFormat="1" applyFont="1" applyFill="1" applyAlignment="1">
      <alignment horizontal="right"/>
    </xf>
    <xf numFmtId="164" fontId="9" fillId="3" borderId="0" xfId="0" applyNumberFormat="1" applyFont="1" applyFill="1" applyAlignment="1">
      <alignment horizontal="right"/>
    </xf>
    <xf numFmtId="0" fontId="9" fillId="3" borderId="0" xfId="0" applyFont="1" applyFill="1"/>
    <xf numFmtId="4" fontId="9" fillId="0" borderId="0" xfId="0" applyNumberFormat="1" applyFont="1"/>
    <xf numFmtId="166" fontId="9" fillId="5" borderId="0" xfId="0" applyNumberFormat="1" applyFont="1" applyFill="1"/>
    <xf numFmtId="165" fontId="9" fillId="5" borderId="0" xfId="0" applyNumberFormat="1" applyFont="1" applyFill="1"/>
    <xf numFmtId="0" fontId="9" fillId="4" borderId="0" xfId="0" applyFont="1" applyFill="1" applyAlignment="1">
      <alignment wrapText="1"/>
    </xf>
    <xf numFmtId="167" fontId="9" fillId="5" borderId="0" xfId="0" applyNumberFormat="1" applyFont="1" applyFill="1" applyAlignment="1">
      <alignment horizontal="right"/>
    </xf>
    <xf numFmtId="167" fontId="9" fillId="5" borderId="0" xfId="0" applyNumberFormat="1" applyFont="1" applyFill="1"/>
    <xf numFmtId="3" fontId="9" fillId="6" borderId="0" xfId="0" applyNumberFormat="1" applyFont="1" applyFill="1" applyAlignment="1">
      <alignment horizontal="right"/>
    </xf>
    <xf numFmtId="0" fontId="9" fillId="7" borderId="0" xfId="0" applyFont="1" applyFill="1"/>
    <xf numFmtId="0" fontId="9" fillId="7" borderId="0" xfId="0" applyFont="1" applyFill="1" applyAlignment="1">
      <alignment horizontal="right"/>
    </xf>
    <xf numFmtId="167" fontId="9" fillId="7" borderId="0" xfId="0" applyNumberFormat="1" applyFont="1" applyFill="1" applyAlignment="1">
      <alignment horizontal="right"/>
    </xf>
    <xf numFmtId="1" fontId="9" fillId="7" borderId="0" xfId="0" applyNumberFormat="1" applyFont="1" applyFill="1" applyAlignment="1">
      <alignment horizontal="right"/>
    </xf>
    <xf numFmtId="4" fontId="9" fillId="7" borderId="0" xfId="0" applyNumberFormat="1" applyFont="1" applyFill="1" applyAlignment="1">
      <alignment horizontal="right"/>
    </xf>
    <xf numFmtId="164" fontId="9" fillId="7" borderId="0" xfId="0" applyNumberFormat="1" applyFont="1" applyFill="1" applyAlignment="1">
      <alignment horizontal="right"/>
    </xf>
    <xf numFmtId="4" fontId="9" fillId="7" borderId="0" xfId="0" applyNumberFormat="1" applyFont="1" applyFill="1"/>
    <xf numFmtId="165" fontId="9" fillId="7" borderId="0" xfId="0" applyNumberFormat="1" applyFont="1" applyFill="1"/>
    <xf numFmtId="2" fontId="9" fillId="6" borderId="0" xfId="0" applyNumberFormat="1" applyFont="1" applyFill="1" applyAlignment="1">
      <alignment horizontal="right"/>
    </xf>
    <xf numFmtId="4" fontId="9" fillId="3" borderId="0" xfId="0" applyNumberFormat="1" applyFont="1" applyFill="1"/>
    <xf numFmtId="2" fontId="9" fillId="7" borderId="0" xfId="0" applyNumberFormat="1" applyFont="1" applyFill="1" applyAlignment="1">
      <alignment horizontal="right"/>
    </xf>
    <xf numFmtId="167" fontId="9" fillId="7" borderId="0" xfId="0" applyNumberFormat="1" applyFont="1" applyFill="1"/>
    <xf numFmtId="2" fontId="9" fillId="6" borderId="0" xfId="0" applyNumberFormat="1" applyFont="1" applyFill="1"/>
    <xf numFmtId="1" fontId="11" fillId="0" borderId="0" xfId="0" applyNumberFormat="1" applyFont="1"/>
    <xf numFmtId="2" fontId="11" fillId="0" borderId="0" xfId="0" applyNumberFormat="1" applyFont="1"/>
    <xf numFmtId="164" fontId="11" fillId="0" borderId="0" xfId="0" applyNumberFormat="1" applyFont="1"/>
    <xf numFmtId="4" fontId="11" fillId="0" borderId="0" xfId="0" applyNumberFormat="1" applyFont="1"/>
    <xf numFmtId="4" fontId="6" fillId="2" borderId="0" xfId="0" applyNumberFormat="1" applyFont="1" applyFill="1" applyAlignment="1">
      <alignment horizontal="center"/>
    </xf>
    <xf numFmtId="0" fontId="0" fillId="0" borderId="0" xfId="0"/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" fontId="7" fillId="6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8"/>
  <sheetViews>
    <sheetView tabSelected="1" workbookViewId="0">
      <selection sqref="A1:XFD32"/>
    </sheetView>
  </sheetViews>
  <sheetFormatPr baseColWidth="10" defaultColWidth="9.140625" defaultRowHeight="15" x14ac:dyDescent="0.25"/>
  <cols>
    <col min="1" max="1" width="4.85546875" customWidth="1"/>
    <col min="2" max="2" width="27.140625" customWidth="1"/>
    <col min="3" max="3" width="18" bestFit="1" customWidth="1"/>
    <col min="4" max="4" width="17.42578125" bestFit="1" customWidth="1"/>
    <col min="5" max="5" width="23.7109375" bestFit="1" customWidth="1"/>
    <col min="6" max="6" width="12.28515625" bestFit="1" customWidth="1"/>
    <col min="7" max="7" width="16.28515625" bestFit="1" customWidth="1"/>
    <col min="8" max="8" width="72.140625" bestFit="1" customWidth="1"/>
    <col min="9" max="9" width="22.7109375" bestFit="1" customWidth="1"/>
    <col min="10" max="11" width="6.42578125" customWidth="1"/>
    <col min="12" max="12" width="12.42578125" customWidth="1"/>
    <col min="13" max="13" width="6.42578125" customWidth="1"/>
    <col min="14" max="14" width="9.42578125" customWidth="1"/>
    <col min="15" max="15" width="10.42578125" customWidth="1"/>
    <col min="16" max="16" width="17.7109375" bestFit="1" customWidth="1"/>
    <col min="17" max="17" width="19.42578125" bestFit="1" customWidth="1"/>
    <col min="18" max="18" width="22.5703125" bestFit="1" customWidth="1"/>
    <col min="19" max="19" width="32" customWidth="1"/>
    <col min="20" max="20" width="8.7109375" customWidth="1"/>
    <col min="21" max="21" width="7.42578125" customWidth="1"/>
    <col min="22" max="22" width="10.42578125" customWidth="1"/>
    <col min="23" max="23" width="4.7109375" customWidth="1"/>
    <col min="24" max="24" width="7.42578125" customWidth="1"/>
    <col min="25" max="25" width="8.42578125" customWidth="1"/>
    <col min="26" max="26" width="10.5703125" customWidth="1"/>
    <col min="27" max="27" width="11.28515625" customWidth="1"/>
    <col min="28" max="28" width="9.7109375" customWidth="1"/>
    <col min="29" max="29" width="9" customWidth="1"/>
    <col min="30" max="30" width="7.85546875" customWidth="1"/>
    <col min="31" max="31" width="7.5703125" customWidth="1"/>
    <col min="32" max="32" width="8.5703125" customWidth="1"/>
    <col min="33" max="33" width="0.42578125" customWidth="1"/>
  </cols>
  <sheetData>
    <row r="1" spans="1:33" ht="23.25" x14ac:dyDescent="0.35">
      <c r="A1" s="1"/>
      <c r="B1" s="2"/>
      <c r="C1" s="2"/>
      <c r="D1" s="2"/>
      <c r="E1" s="2"/>
      <c r="F1" s="2"/>
      <c r="G1" s="2"/>
      <c r="H1" s="3" t="s">
        <v>0</v>
      </c>
      <c r="I1" s="3"/>
      <c r="J1" s="4"/>
      <c r="K1" s="3"/>
      <c r="L1" s="3"/>
      <c r="M1" s="5"/>
      <c r="N1" s="6"/>
      <c r="O1" s="6"/>
      <c r="P1" s="3"/>
      <c r="Q1" s="3"/>
      <c r="R1" s="3"/>
      <c r="S1" s="7"/>
      <c r="T1" s="7"/>
      <c r="U1" s="7"/>
      <c r="V1" s="7"/>
      <c r="W1" s="7"/>
      <c r="X1" s="7"/>
      <c r="Y1" s="8"/>
      <c r="Z1" s="2"/>
    </row>
    <row r="2" spans="1:33" ht="23.25" x14ac:dyDescent="0.35">
      <c r="A2" s="9"/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10" t="s">
        <v>6</v>
      </c>
      <c r="H2" s="11" t="s">
        <v>7</v>
      </c>
      <c r="I2" s="3"/>
      <c r="J2" s="4"/>
      <c r="K2" s="3"/>
      <c r="L2" s="3"/>
      <c r="M2" s="5"/>
      <c r="N2" s="6"/>
      <c r="O2" s="6"/>
      <c r="P2" s="3"/>
      <c r="Q2" s="2"/>
      <c r="R2" s="2"/>
      <c r="S2" s="12">
        <v>1</v>
      </c>
      <c r="T2" s="12">
        <v>2</v>
      </c>
      <c r="U2" s="12">
        <v>3</v>
      </c>
      <c r="V2" s="12">
        <v>4</v>
      </c>
      <c r="W2" s="12">
        <v>5</v>
      </c>
      <c r="X2" s="12">
        <v>6</v>
      </c>
      <c r="Y2" s="12">
        <v>7</v>
      </c>
    </row>
    <row r="3" spans="1:33" ht="40.5" customHeight="1" x14ac:dyDescent="0.25">
      <c r="A3" s="1"/>
      <c r="B3" s="2"/>
      <c r="C3" s="2"/>
      <c r="D3" s="2"/>
      <c r="E3" s="2"/>
      <c r="F3" s="2"/>
      <c r="G3" s="2"/>
      <c r="H3" s="2"/>
      <c r="I3" s="2"/>
      <c r="J3" s="13"/>
      <c r="K3" s="2"/>
      <c r="L3" s="2"/>
      <c r="M3" s="14"/>
      <c r="N3" s="15"/>
      <c r="O3" s="15"/>
      <c r="P3" s="15"/>
      <c r="Q3" s="16" t="s">
        <v>8</v>
      </c>
      <c r="R3" s="17" t="s">
        <v>9</v>
      </c>
      <c r="S3" s="71" t="s">
        <v>10</v>
      </c>
      <c r="T3" s="72"/>
      <c r="U3" s="72"/>
      <c r="V3" s="72"/>
      <c r="W3" s="72"/>
      <c r="X3" s="72"/>
      <c r="Y3" s="72"/>
    </row>
    <row r="4" spans="1:33" ht="15.75" x14ac:dyDescent="0.25">
      <c r="A4" s="1"/>
      <c r="B4" s="73" t="s">
        <v>11</v>
      </c>
      <c r="C4" s="72"/>
      <c r="D4" s="72"/>
      <c r="E4" s="72"/>
      <c r="F4" s="74" t="s">
        <v>12</v>
      </c>
      <c r="G4" s="72"/>
      <c r="H4" s="72"/>
      <c r="I4" s="72"/>
      <c r="J4" s="75" t="s">
        <v>13</v>
      </c>
      <c r="K4" s="72"/>
      <c r="L4" s="72"/>
      <c r="M4" s="72"/>
      <c r="N4" s="18" t="s">
        <v>14</v>
      </c>
      <c r="O4" s="19"/>
      <c r="P4" s="20" t="s">
        <v>8</v>
      </c>
      <c r="Q4" s="20" t="s">
        <v>9</v>
      </c>
      <c r="R4" s="20" t="s">
        <v>15</v>
      </c>
      <c r="S4" s="76" t="s">
        <v>16</v>
      </c>
      <c r="T4" s="72"/>
      <c r="U4" s="72"/>
      <c r="V4" s="72"/>
      <c r="W4" s="72"/>
      <c r="X4" s="72"/>
      <c r="Y4" s="72"/>
      <c r="Z4" s="21">
        <v>1</v>
      </c>
      <c r="AA4" s="21">
        <v>2</v>
      </c>
      <c r="AB4" s="21">
        <v>3</v>
      </c>
      <c r="AC4" s="21">
        <v>4</v>
      </c>
      <c r="AD4" s="21">
        <v>5</v>
      </c>
      <c r="AE4" s="21">
        <v>6</v>
      </c>
      <c r="AF4" s="22">
        <v>7</v>
      </c>
      <c r="AG4" s="22">
        <v>8</v>
      </c>
    </row>
    <row r="5" spans="1:33" ht="51.75" x14ac:dyDescent="0.25">
      <c r="A5" s="23" t="s">
        <v>14</v>
      </c>
      <c r="B5" s="24" t="s">
        <v>17</v>
      </c>
      <c r="C5" s="24" t="s">
        <v>18</v>
      </c>
      <c r="D5" s="24" t="s">
        <v>19</v>
      </c>
      <c r="E5" s="24" t="s">
        <v>20</v>
      </c>
      <c r="F5" s="25" t="s">
        <v>21</v>
      </c>
      <c r="G5" s="25" t="s">
        <v>22</v>
      </c>
      <c r="H5" s="25" t="s">
        <v>23</v>
      </c>
      <c r="I5" s="25" t="s">
        <v>24</v>
      </c>
      <c r="J5" s="26" t="s">
        <v>25</v>
      </c>
      <c r="K5" s="27" t="s">
        <v>26</v>
      </c>
      <c r="L5" s="27" t="s">
        <v>27</v>
      </c>
      <c r="M5" s="28" t="s">
        <v>28</v>
      </c>
      <c r="N5" s="29"/>
      <c r="O5" s="30" t="s">
        <v>29</v>
      </c>
      <c r="P5" s="31" t="s">
        <v>29</v>
      </c>
      <c r="Q5" s="20"/>
      <c r="R5" s="20"/>
      <c r="S5" s="32" t="s">
        <v>30</v>
      </c>
      <c r="T5" s="32" t="s">
        <v>31</v>
      </c>
      <c r="U5" s="33" t="s">
        <v>32</v>
      </c>
      <c r="V5" s="32" t="s">
        <v>33</v>
      </c>
      <c r="W5" s="32" t="s">
        <v>34</v>
      </c>
      <c r="X5" s="34" t="s">
        <v>35</v>
      </c>
      <c r="Y5" s="32" t="s">
        <v>36</v>
      </c>
      <c r="Z5" s="35" t="s">
        <v>37</v>
      </c>
      <c r="AA5" s="35" t="s">
        <v>38</v>
      </c>
      <c r="AB5" s="35" t="s">
        <v>39</v>
      </c>
      <c r="AC5" s="35" t="s">
        <v>40</v>
      </c>
      <c r="AD5" s="35" t="s">
        <v>41</v>
      </c>
      <c r="AE5" s="35" t="s">
        <v>42</v>
      </c>
      <c r="AF5" s="22" t="s">
        <v>43</v>
      </c>
      <c r="AG5" s="22" t="s">
        <v>44</v>
      </c>
    </row>
    <row r="6" spans="1:33" x14ac:dyDescent="0.25">
      <c r="A6" s="36">
        <v>4</v>
      </c>
      <c r="B6" s="37" t="s">
        <v>45</v>
      </c>
      <c r="C6" s="38">
        <v>8123544858</v>
      </c>
      <c r="D6" s="39"/>
      <c r="E6" s="37"/>
      <c r="F6" s="40"/>
      <c r="G6" s="41">
        <v>45647</v>
      </c>
      <c r="H6" s="40"/>
      <c r="I6" s="40"/>
      <c r="J6" s="42">
        <v>49</v>
      </c>
      <c r="K6" s="43" t="s">
        <v>46</v>
      </c>
      <c r="L6" s="43" t="s">
        <v>47</v>
      </c>
      <c r="M6" s="44">
        <v>350</v>
      </c>
      <c r="N6" s="45">
        <v>1</v>
      </c>
      <c r="O6" s="45">
        <v>17150</v>
      </c>
      <c r="P6" s="45">
        <f t="shared" ref="P6:P260" si="0">O6</f>
        <v>17150</v>
      </c>
      <c r="Q6" s="46"/>
      <c r="R6" s="46"/>
      <c r="S6" s="47" t="str">
        <f t="shared" ref="S6:S260" si="1">IF($A6=1,$P6,"")</f>
        <v/>
      </c>
      <c r="T6" s="47" t="str">
        <f t="shared" ref="T6:T260" si="2">IF($A6=2,$P6,"")</f>
        <v/>
      </c>
      <c r="U6" s="47" t="str">
        <f t="shared" ref="U6:U260" si="3">IF($A6=3,$P6,"")</f>
        <v/>
      </c>
      <c r="V6" s="47">
        <f t="shared" ref="V6:V260" si="4">IF($A6=4,$P6,"")</f>
        <v>17150</v>
      </c>
      <c r="W6" s="47" t="str">
        <f t="shared" ref="W6:W260" si="5">IF($A6=5,$P6,"")</f>
        <v/>
      </c>
      <c r="X6" s="47" t="str">
        <f t="shared" ref="X6:X260" si="6">IF($A6=6,$P6,"")</f>
        <v/>
      </c>
      <c r="Y6" s="47" t="str">
        <f t="shared" ref="Y6:Y260" si="7">IF($A6=7,$P6,"")</f>
        <v/>
      </c>
      <c r="Z6" s="47">
        <f t="shared" ref="Z6:Z31" si="8">IF($N6=1,$P6,"")</f>
        <v>17150</v>
      </c>
      <c r="AA6" s="47" t="str">
        <f t="shared" ref="AA6:AA260" si="9">IF($N6=2,$P6,"")</f>
        <v/>
      </c>
      <c r="AB6" s="47" t="str">
        <f t="shared" ref="AB6:AB260" si="10">IF($N6=3,$P6,"")</f>
        <v/>
      </c>
      <c r="AC6" s="47" t="str">
        <f t="shared" ref="AC6:AC260" si="11">IF($N6=4,$P6,"")</f>
        <v/>
      </c>
      <c r="AD6" s="47" t="str">
        <f t="shared" ref="AD6:AD260" si="12">IF($N6=5,$P6,"")</f>
        <v/>
      </c>
      <c r="AE6" s="47" t="str">
        <f t="shared" ref="AE6:AE104" si="13">IF($N6=6,$O6,"")</f>
        <v/>
      </c>
      <c r="AF6" s="47" t="str">
        <f t="shared" ref="AF6:AF260" si="14">IF($N6=7,$O6,"")</f>
        <v/>
      </c>
      <c r="AG6" s="47" t="str">
        <f t="shared" ref="AG6:AG260" si="15">IF($N6=8,#REF!,"")</f>
        <v/>
      </c>
    </row>
    <row r="7" spans="1:33" x14ac:dyDescent="0.25">
      <c r="A7" s="36">
        <v>4</v>
      </c>
      <c r="B7" s="37" t="s">
        <v>48</v>
      </c>
      <c r="C7" s="37"/>
      <c r="D7" s="39"/>
      <c r="E7" s="37"/>
      <c r="F7" s="40"/>
      <c r="G7" s="41">
        <v>45647</v>
      </c>
      <c r="H7" s="40"/>
      <c r="I7" s="40"/>
      <c r="J7" s="42">
        <v>15</v>
      </c>
      <c r="K7" s="43" t="s">
        <v>49</v>
      </c>
      <c r="L7" s="43" t="s">
        <v>50</v>
      </c>
      <c r="M7" s="44">
        <v>87</v>
      </c>
      <c r="N7" s="45">
        <v>1</v>
      </c>
      <c r="O7" s="45">
        <v>1305</v>
      </c>
      <c r="P7" s="45">
        <f t="shared" si="0"/>
        <v>1305</v>
      </c>
      <c r="Q7" s="46"/>
      <c r="R7" s="46"/>
      <c r="S7" s="47" t="str">
        <f t="shared" si="1"/>
        <v/>
      </c>
      <c r="T7" s="47" t="str">
        <f t="shared" si="2"/>
        <v/>
      </c>
      <c r="U7" s="47" t="str">
        <f t="shared" si="3"/>
        <v/>
      </c>
      <c r="V7" s="47">
        <f t="shared" si="4"/>
        <v>1305</v>
      </c>
      <c r="W7" s="47" t="str">
        <f t="shared" si="5"/>
        <v/>
      </c>
      <c r="X7" s="47" t="str">
        <f t="shared" si="6"/>
        <v/>
      </c>
      <c r="Y7" s="47" t="str">
        <f t="shared" si="7"/>
        <v/>
      </c>
      <c r="Z7" s="47">
        <f t="shared" si="8"/>
        <v>1305</v>
      </c>
      <c r="AA7" s="47" t="str">
        <f t="shared" si="9"/>
        <v/>
      </c>
      <c r="AB7" s="47" t="str">
        <f t="shared" si="10"/>
        <v/>
      </c>
      <c r="AC7" s="47" t="str">
        <f t="shared" si="11"/>
        <v/>
      </c>
      <c r="AD7" s="47" t="str">
        <f t="shared" si="12"/>
        <v/>
      </c>
      <c r="AE7" s="47" t="str">
        <f t="shared" si="13"/>
        <v/>
      </c>
      <c r="AF7" s="47" t="str">
        <f t="shared" si="14"/>
        <v/>
      </c>
      <c r="AG7" s="47" t="str">
        <f t="shared" si="15"/>
        <v/>
      </c>
    </row>
    <row r="8" spans="1:33" x14ac:dyDescent="0.25">
      <c r="A8" s="36">
        <v>3</v>
      </c>
      <c r="B8" s="37" t="s">
        <v>51</v>
      </c>
      <c r="C8" s="38">
        <v>8126227140</v>
      </c>
      <c r="D8" s="37"/>
      <c r="E8" s="37"/>
      <c r="F8" s="40"/>
      <c r="G8" s="41">
        <v>45649</v>
      </c>
      <c r="H8" s="40"/>
      <c r="I8" s="40"/>
      <c r="J8" s="42">
        <v>1</v>
      </c>
      <c r="K8" s="43" t="s">
        <v>52</v>
      </c>
      <c r="L8" s="43" t="s">
        <v>53</v>
      </c>
      <c r="M8" s="44">
        <v>150</v>
      </c>
      <c r="N8" s="45">
        <v>1</v>
      </c>
      <c r="O8" s="45">
        <v>150</v>
      </c>
      <c r="P8" s="45">
        <f t="shared" si="0"/>
        <v>150</v>
      </c>
      <c r="Q8" s="46"/>
      <c r="R8" s="46"/>
      <c r="S8" s="47" t="str">
        <f t="shared" si="1"/>
        <v/>
      </c>
      <c r="T8" s="47" t="str">
        <f t="shared" si="2"/>
        <v/>
      </c>
      <c r="U8" s="47">
        <f t="shared" si="3"/>
        <v>150</v>
      </c>
      <c r="V8" s="47" t="str">
        <f t="shared" si="4"/>
        <v/>
      </c>
      <c r="W8" s="47" t="str">
        <f t="shared" si="5"/>
        <v/>
      </c>
      <c r="X8" s="47" t="str">
        <f t="shared" si="6"/>
        <v/>
      </c>
      <c r="Y8" s="47" t="str">
        <f t="shared" si="7"/>
        <v/>
      </c>
      <c r="Z8" s="47">
        <f t="shared" si="8"/>
        <v>150</v>
      </c>
      <c r="AA8" s="47" t="str">
        <f t="shared" si="9"/>
        <v/>
      </c>
      <c r="AB8" s="47" t="str">
        <f t="shared" si="10"/>
        <v/>
      </c>
      <c r="AC8" s="47" t="str">
        <f t="shared" si="11"/>
        <v/>
      </c>
      <c r="AD8" s="47" t="str">
        <f t="shared" si="12"/>
        <v/>
      </c>
      <c r="AE8" s="47" t="str">
        <f t="shared" si="13"/>
        <v/>
      </c>
      <c r="AF8" s="47" t="str">
        <f t="shared" si="14"/>
        <v/>
      </c>
      <c r="AG8" s="47" t="str">
        <f t="shared" si="15"/>
        <v/>
      </c>
    </row>
    <row r="9" spans="1:33" x14ac:dyDescent="0.25">
      <c r="A9" s="36">
        <v>3</v>
      </c>
      <c r="B9" s="37" t="s">
        <v>51</v>
      </c>
      <c r="C9" s="37"/>
      <c r="D9" s="37"/>
      <c r="E9" s="37"/>
      <c r="F9" s="40"/>
      <c r="G9" s="48"/>
      <c r="H9" s="40"/>
      <c r="I9" s="40"/>
      <c r="J9" s="42">
        <v>1</v>
      </c>
      <c r="K9" s="43" t="s">
        <v>54</v>
      </c>
      <c r="L9" s="43" t="s">
        <v>55</v>
      </c>
      <c r="M9" s="44">
        <v>200</v>
      </c>
      <c r="N9" s="45">
        <v>1</v>
      </c>
      <c r="O9" s="45">
        <v>200</v>
      </c>
      <c r="P9" s="45">
        <f t="shared" si="0"/>
        <v>200</v>
      </c>
      <c r="Q9" s="46"/>
      <c r="R9" s="46"/>
      <c r="S9" s="47" t="str">
        <f t="shared" si="1"/>
        <v/>
      </c>
      <c r="T9" s="47" t="str">
        <f t="shared" si="2"/>
        <v/>
      </c>
      <c r="U9" s="47">
        <f t="shared" si="3"/>
        <v>200</v>
      </c>
      <c r="V9" s="47" t="str">
        <f t="shared" si="4"/>
        <v/>
      </c>
      <c r="W9" s="47" t="str">
        <f t="shared" si="5"/>
        <v/>
      </c>
      <c r="X9" s="47" t="str">
        <f t="shared" si="6"/>
        <v/>
      </c>
      <c r="Y9" s="47" t="str">
        <f t="shared" si="7"/>
        <v/>
      </c>
      <c r="Z9" s="47">
        <f t="shared" si="8"/>
        <v>200</v>
      </c>
      <c r="AA9" s="47" t="str">
        <f t="shared" si="9"/>
        <v/>
      </c>
      <c r="AB9" s="47" t="str">
        <f t="shared" si="10"/>
        <v/>
      </c>
      <c r="AC9" s="47" t="str">
        <f t="shared" si="11"/>
        <v/>
      </c>
      <c r="AD9" s="47" t="str">
        <f t="shared" si="12"/>
        <v/>
      </c>
      <c r="AE9" s="47" t="str">
        <f t="shared" si="13"/>
        <v/>
      </c>
      <c r="AF9" s="47" t="str">
        <f t="shared" si="14"/>
        <v/>
      </c>
      <c r="AG9" s="47" t="str">
        <f t="shared" si="15"/>
        <v/>
      </c>
    </row>
    <row r="10" spans="1:33" x14ac:dyDescent="0.25">
      <c r="A10" s="36">
        <v>3</v>
      </c>
      <c r="B10" s="37" t="s">
        <v>51</v>
      </c>
      <c r="C10" s="37"/>
      <c r="D10" s="37"/>
      <c r="E10" s="37"/>
      <c r="F10" s="40"/>
      <c r="G10" s="48"/>
      <c r="H10" s="40"/>
      <c r="I10" s="40"/>
      <c r="J10" s="42">
        <v>15</v>
      </c>
      <c r="K10" s="43" t="s">
        <v>56</v>
      </c>
      <c r="L10" s="43" t="s">
        <v>57</v>
      </c>
      <c r="M10" s="44">
        <v>130</v>
      </c>
      <c r="N10" s="45">
        <v>1</v>
      </c>
      <c r="O10" s="45">
        <v>1950</v>
      </c>
      <c r="P10" s="45">
        <f t="shared" si="0"/>
        <v>1950</v>
      </c>
      <c r="Q10" s="46"/>
      <c r="R10" s="46"/>
      <c r="S10" s="47" t="str">
        <f t="shared" si="1"/>
        <v/>
      </c>
      <c r="T10" s="47" t="str">
        <f t="shared" si="2"/>
        <v/>
      </c>
      <c r="U10" s="47">
        <f t="shared" si="3"/>
        <v>1950</v>
      </c>
      <c r="V10" s="47" t="str">
        <f t="shared" si="4"/>
        <v/>
      </c>
      <c r="W10" s="47" t="str">
        <f t="shared" si="5"/>
        <v/>
      </c>
      <c r="X10" s="47" t="str">
        <f t="shared" si="6"/>
        <v/>
      </c>
      <c r="Y10" s="47" t="str">
        <f t="shared" si="7"/>
        <v/>
      </c>
      <c r="Z10" s="47">
        <f t="shared" si="8"/>
        <v>1950</v>
      </c>
      <c r="AA10" s="47" t="str">
        <f t="shared" si="9"/>
        <v/>
      </c>
      <c r="AB10" s="47" t="str">
        <f t="shared" si="10"/>
        <v/>
      </c>
      <c r="AC10" s="47" t="str">
        <f t="shared" si="11"/>
        <v/>
      </c>
      <c r="AD10" s="47" t="str">
        <f t="shared" si="12"/>
        <v/>
      </c>
      <c r="AE10" s="47" t="str">
        <f t="shared" si="13"/>
        <v/>
      </c>
      <c r="AF10" s="47" t="str">
        <f t="shared" si="14"/>
        <v/>
      </c>
      <c r="AG10" s="47" t="str">
        <f t="shared" si="15"/>
        <v/>
      </c>
    </row>
    <row r="11" spans="1:33" x14ac:dyDescent="0.25">
      <c r="A11" s="36">
        <v>4</v>
      </c>
      <c r="B11" s="37" t="s">
        <v>58</v>
      </c>
      <c r="C11" s="37"/>
      <c r="D11" s="37"/>
      <c r="E11" s="37"/>
      <c r="F11" s="40"/>
      <c r="G11" s="41">
        <v>45650</v>
      </c>
      <c r="H11" s="40"/>
      <c r="I11" s="40"/>
      <c r="J11" s="42">
        <v>55</v>
      </c>
      <c r="K11" s="43" t="s">
        <v>46</v>
      </c>
      <c r="L11" s="43" t="s">
        <v>47</v>
      </c>
      <c r="M11" s="44">
        <v>150</v>
      </c>
      <c r="N11" s="45">
        <v>6</v>
      </c>
      <c r="O11" s="45">
        <v>8250</v>
      </c>
      <c r="P11" s="45">
        <f t="shared" si="0"/>
        <v>8250</v>
      </c>
      <c r="Q11" s="46"/>
      <c r="R11" s="46"/>
      <c r="S11" s="47" t="str">
        <f t="shared" si="1"/>
        <v/>
      </c>
      <c r="T11" s="47" t="str">
        <f t="shared" si="2"/>
        <v/>
      </c>
      <c r="U11" s="47" t="str">
        <f t="shared" si="3"/>
        <v/>
      </c>
      <c r="V11" s="47">
        <f t="shared" si="4"/>
        <v>8250</v>
      </c>
      <c r="W11" s="47" t="str">
        <f t="shared" si="5"/>
        <v/>
      </c>
      <c r="X11" s="47" t="str">
        <f t="shared" si="6"/>
        <v/>
      </c>
      <c r="Y11" s="47" t="str">
        <f t="shared" si="7"/>
        <v/>
      </c>
      <c r="Z11" s="47" t="str">
        <f t="shared" si="8"/>
        <v/>
      </c>
      <c r="AA11" s="47" t="str">
        <f t="shared" si="9"/>
        <v/>
      </c>
      <c r="AB11" s="47" t="str">
        <f t="shared" si="10"/>
        <v/>
      </c>
      <c r="AC11" s="47" t="str">
        <f t="shared" si="11"/>
        <v/>
      </c>
      <c r="AD11" s="47" t="str">
        <f t="shared" si="12"/>
        <v/>
      </c>
      <c r="AE11" s="47">
        <f t="shared" si="13"/>
        <v>8250</v>
      </c>
      <c r="AF11" s="47" t="str">
        <f t="shared" si="14"/>
        <v/>
      </c>
      <c r="AG11" s="47" t="str">
        <f t="shared" si="15"/>
        <v/>
      </c>
    </row>
    <row r="12" spans="1:33" x14ac:dyDescent="0.25">
      <c r="A12" s="36">
        <v>3</v>
      </c>
      <c r="B12" s="37" t="s">
        <v>59</v>
      </c>
      <c r="C12" s="38">
        <v>8122852815</v>
      </c>
      <c r="D12" s="37"/>
      <c r="E12" s="37"/>
      <c r="F12" s="40"/>
      <c r="G12" s="41">
        <v>45652</v>
      </c>
      <c r="H12" s="40"/>
      <c r="I12" s="40"/>
      <c r="J12" s="42">
        <v>80</v>
      </c>
      <c r="K12" s="43" t="s">
        <v>60</v>
      </c>
      <c r="L12" s="43" t="s">
        <v>61</v>
      </c>
      <c r="M12" s="44">
        <v>20</v>
      </c>
      <c r="N12" s="45">
        <v>1</v>
      </c>
      <c r="O12" s="45">
        <v>1600</v>
      </c>
      <c r="P12" s="45">
        <f t="shared" si="0"/>
        <v>1600</v>
      </c>
      <c r="Q12" s="46"/>
      <c r="R12" s="46"/>
      <c r="S12" s="47" t="str">
        <f t="shared" si="1"/>
        <v/>
      </c>
      <c r="T12" s="47" t="str">
        <f t="shared" si="2"/>
        <v/>
      </c>
      <c r="U12" s="47">
        <f t="shared" si="3"/>
        <v>1600</v>
      </c>
      <c r="V12" s="47" t="str">
        <f t="shared" si="4"/>
        <v/>
      </c>
      <c r="W12" s="47" t="str">
        <f t="shared" si="5"/>
        <v/>
      </c>
      <c r="X12" s="47" t="str">
        <f t="shared" si="6"/>
        <v/>
      </c>
      <c r="Y12" s="47" t="str">
        <f t="shared" si="7"/>
        <v/>
      </c>
      <c r="Z12" s="47">
        <f t="shared" si="8"/>
        <v>1600</v>
      </c>
      <c r="AA12" s="47" t="str">
        <f t="shared" si="9"/>
        <v/>
      </c>
      <c r="AB12" s="47" t="str">
        <f t="shared" si="10"/>
        <v/>
      </c>
      <c r="AC12" s="47" t="str">
        <f t="shared" si="11"/>
        <v/>
      </c>
      <c r="AD12" s="47" t="str">
        <f t="shared" si="12"/>
        <v/>
      </c>
      <c r="AE12" s="47" t="str">
        <f t="shared" si="13"/>
        <v/>
      </c>
      <c r="AF12" s="47" t="str">
        <f t="shared" si="14"/>
        <v/>
      </c>
      <c r="AG12" s="47" t="str">
        <f t="shared" si="15"/>
        <v/>
      </c>
    </row>
    <row r="13" spans="1:33" x14ac:dyDescent="0.25">
      <c r="A13" s="36">
        <v>3</v>
      </c>
      <c r="B13" s="37" t="s">
        <v>62</v>
      </c>
      <c r="C13" s="37"/>
      <c r="D13" s="37"/>
      <c r="E13" s="37"/>
      <c r="F13" s="40"/>
      <c r="G13" s="41">
        <v>45653</v>
      </c>
      <c r="H13" s="40"/>
      <c r="I13" s="40"/>
      <c r="J13" s="42">
        <v>1</v>
      </c>
      <c r="K13" s="43" t="s">
        <v>52</v>
      </c>
      <c r="L13" s="43" t="s">
        <v>63</v>
      </c>
      <c r="M13" s="44">
        <v>660</v>
      </c>
      <c r="N13" s="45">
        <v>1</v>
      </c>
      <c r="O13" s="45">
        <v>660</v>
      </c>
      <c r="P13" s="45">
        <f t="shared" si="0"/>
        <v>660</v>
      </c>
      <c r="Q13" s="46"/>
      <c r="R13" s="46"/>
      <c r="S13" s="47" t="str">
        <f t="shared" si="1"/>
        <v/>
      </c>
      <c r="T13" s="47" t="str">
        <f t="shared" si="2"/>
        <v/>
      </c>
      <c r="U13" s="47">
        <f t="shared" si="3"/>
        <v>660</v>
      </c>
      <c r="V13" s="47" t="str">
        <f t="shared" si="4"/>
        <v/>
      </c>
      <c r="W13" s="47" t="str">
        <f t="shared" si="5"/>
        <v/>
      </c>
      <c r="X13" s="47" t="str">
        <f t="shared" si="6"/>
        <v/>
      </c>
      <c r="Y13" s="47" t="str">
        <f t="shared" si="7"/>
        <v/>
      </c>
      <c r="Z13" s="47">
        <f t="shared" si="8"/>
        <v>660</v>
      </c>
      <c r="AA13" s="47" t="str">
        <f t="shared" si="9"/>
        <v/>
      </c>
      <c r="AB13" s="47" t="str">
        <f t="shared" si="10"/>
        <v/>
      </c>
      <c r="AC13" s="47" t="str">
        <f t="shared" si="11"/>
        <v/>
      </c>
      <c r="AD13" s="47" t="str">
        <f t="shared" si="12"/>
        <v/>
      </c>
      <c r="AE13" s="47" t="str">
        <f t="shared" si="13"/>
        <v/>
      </c>
      <c r="AF13" s="47" t="str">
        <f t="shared" si="14"/>
        <v/>
      </c>
      <c r="AG13" s="47" t="str">
        <f t="shared" si="15"/>
        <v/>
      </c>
    </row>
    <row r="14" spans="1:33" x14ac:dyDescent="0.25">
      <c r="A14" s="36">
        <v>4</v>
      </c>
      <c r="B14" s="37" t="s">
        <v>64</v>
      </c>
      <c r="C14" s="38">
        <v>8117992542</v>
      </c>
      <c r="D14" s="37"/>
      <c r="E14" s="37"/>
      <c r="F14" s="40"/>
      <c r="G14" s="41">
        <v>45656</v>
      </c>
      <c r="H14" s="40"/>
      <c r="I14" s="40"/>
      <c r="J14" s="42">
        <v>5</v>
      </c>
      <c r="K14" s="43" t="s">
        <v>46</v>
      </c>
      <c r="L14" s="43" t="s">
        <v>65</v>
      </c>
      <c r="M14" s="44">
        <v>200</v>
      </c>
      <c r="N14" s="45">
        <v>1</v>
      </c>
      <c r="O14" s="45">
        <v>1000</v>
      </c>
      <c r="P14" s="45">
        <f t="shared" si="0"/>
        <v>1000</v>
      </c>
      <c r="Q14" s="46"/>
      <c r="R14" s="46"/>
      <c r="S14" s="47" t="str">
        <f t="shared" si="1"/>
        <v/>
      </c>
      <c r="T14" s="47" t="str">
        <f t="shared" si="2"/>
        <v/>
      </c>
      <c r="U14" s="47" t="str">
        <f t="shared" si="3"/>
        <v/>
      </c>
      <c r="V14" s="47">
        <f t="shared" si="4"/>
        <v>1000</v>
      </c>
      <c r="W14" s="47" t="str">
        <f t="shared" si="5"/>
        <v/>
      </c>
      <c r="X14" s="47" t="str">
        <f t="shared" si="6"/>
        <v/>
      </c>
      <c r="Y14" s="47" t="str">
        <f t="shared" si="7"/>
        <v/>
      </c>
      <c r="Z14" s="47">
        <f t="shared" si="8"/>
        <v>1000</v>
      </c>
      <c r="AA14" s="47" t="str">
        <f t="shared" si="9"/>
        <v/>
      </c>
      <c r="AB14" s="47" t="str">
        <f t="shared" si="10"/>
        <v/>
      </c>
      <c r="AC14" s="47" t="str">
        <f t="shared" si="11"/>
        <v/>
      </c>
      <c r="AD14" s="47" t="str">
        <f t="shared" si="12"/>
        <v/>
      </c>
      <c r="AE14" s="47" t="str">
        <f t="shared" si="13"/>
        <v/>
      </c>
      <c r="AF14" s="47" t="str">
        <f t="shared" si="14"/>
        <v/>
      </c>
      <c r="AG14" s="47" t="str">
        <f t="shared" si="15"/>
        <v/>
      </c>
    </row>
    <row r="15" spans="1:33" x14ac:dyDescent="0.25">
      <c r="A15" s="36">
        <v>4</v>
      </c>
      <c r="B15" s="37" t="s">
        <v>66</v>
      </c>
      <c r="C15" s="38">
        <v>8183099273</v>
      </c>
      <c r="D15" s="37"/>
      <c r="E15" s="37"/>
      <c r="F15" s="40"/>
      <c r="G15" s="41">
        <v>45656</v>
      </c>
      <c r="H15" s="40"/>
      <c r="I15" s="40"/>
      <c r="J15" s="42">
        <v>4</v>
      </c>
      <c r="K15" s="43" t="s">
        <v>67</v>
      </c>
      <c r="L15" s="43" t="s">
        <v>68</v>
      </c>
      <c r="M15" s="44">
        <v>282</v>
      </c>
      <c r="N15" s="45">
        <v>1</v>
      </c>
      <c r="O15" s="45">
        <v>1128</v>
      </c>
      <c r="P15" s="45">
        <f t="shared" si="0"/>
        <v>1128</v>
      </c>
      <c r="Q15" s="46"/>
      <c r="R15" s="46"/>
      <c r="S15" s="47" t="str">
        <f t="shared" si="1"/>
        <v/>
      </c>
      <c r="T15" s="47" t="str">
        <f t="shared" si="2"/>
        <v/>
      </c>
      <c r="U15" s="47" t="str">
        <f t="shared" si="3"/>
        <v/>
      </c>
      <c r="V15" s="47">
        <f t="shared" si="4"/>
        <v>1128</v>
      </c>
      <c r="W15" s="47" t="str">
        <f t="shared" si="5"/>
        <v/>
      </c>
      <c r="X15" s="47" t="str">
        <f t="shared" si="6"/>
        <v/>
      </c>
      <c r="Y15" s="47" t="str">
        <f t="shared" si="7"/>
        <v/>
      </c>
      <c r="Z15" s="47">
        <f t="shared" si="8"/>
        <v>1128</v>
      </c>
      <c r="AA15" s="47" t="str">
        <f t="shared" si="9"/>
        <v/>
      </c>
      <c r="AB15" s="47" t="str">
        <f t="shared" si="10"/>
        <v/>
      </c>
      <c r="AC15" s="47" t="str">
        <f t="shared" si="11"/>
        <v/>
      </c>
      <c r="AD15" s="47" t="str">
        <f t="shared" si="12"/>
        <v/>
      </c>
      <c r="AE15" s="47" t="str">
        <f t="shared" si="13"/>
        <v/>
      </c>
      <c r="AF15" s="47" t="str">
        <f t="shared" si="14"/>
        <v/>
      </c>
      <c r="AG15" s="47" t="str">
        <f t="shared" si="15"/>
        <v/>
      </c>
    </row>
    <row r="16" spans="1:33" x14ac:dyDescent="0.25">
      <c r="A16" s="36">
        <v>4</v>
      </c>
      <c r="B16" s="37" t="s">
        <v>66</v>
      </c>
      <c r="C16" s="37"/>
      <c r="D16" s="37"/>
      <c r="E16" s="37"/>
      <c r="F16" s="40"/>
      <c r="G16" s="49"/>
      <c r="H16" s="40"/>
      <c r="I16" s="40"/>
      <c r="J16" s="42">
        <v>1</v>
      </c>
      <c r="K16" s="43" t="s">
        <v>69</v>
      </c>
      <c r="L16" s="43" t="s">
        <v>70</v>
      </c>
      <c r="M16" s="44">
        <v>239</v>
      </c>
      <c r="N16" s="45">
        <v>2</v>
      </c>
      <c r="O16" s="45">
        <v>239</v>
      </c>
      <c r="P16" s="45">
        <f t="shared" si="0"/>
        <v>239</v>
      </c>
      <c r="Q16" s="46"/>
      <c r="R16" s="46"/>
      <c r="S16" s="47" t="str">
        <f t="shared" si="1"/>
        <v/>
      </c>
      <c r="T16" s="47" t="str">
        <f t="shared" si="2"/>
        <v/>
      </c>
      <c r="U16" s="47" t="str">
        <f t="shared" si="3"/>
        <v/>
      </c>
      <c r="V16" s="47">
        <f t="shared" si="4"/>
        <v>239</v>
      </c>
      <c r="W16" s="47" t="str">
        <f t="shared" si="5"/>
        <v/>
      </c>
      <c r="X16" s="47" t="str">
        <f t="shared" si="6"/>
        <v/>
      </c>
      <c r="Y16" s="47" t="str">
        <f t="shared" si="7"/>
        <v/>
      </c>
      <c r="Z16" s="47" t="str">
        <f t="shared" si="8"/>
        <v/>
      </c>
      <c r="AA16" s="47">
        <f t="shared" si="9"/>
        <v>239</v>
      </c>
      <c r="AB16" s="47" t="str">
        <f t="shared" si="10"/>
        <v/>
      </c>
      <c r="AC16" s="47" t="str">
        <f t="shared" si="11"/>
        <v/>
      </c>
      <c r="AD16" s="47" t="str">
        <f t="shared" si="12"/>
        <v/>
      </c>
      <c r="AE16" s="47" t="str">
        <f t="shared" si="13"/>
        <v/>
      </c>
      <c r="AF16" s="47" t="str">
        <f t="shared" si="14"/>
        <v/>
      </c>
      <c r="AG16" s="47" t="str">
        <f t="shared" si="15"/>
        <v/>
      </c>
    </row>
    <row r="17" spans="1:33" x14ac:dyDescent="0.25">
      <c r="A17" s="36">
        <v>4</v>
      </c>
      <c r="B17" s="37" t="s">
        <v>66</v>
      </c>
      <c r="C17" s="37"/>
      <c r="D17" s="37"/>
      <c r="E17" s="37"/>
      <c r="F17" s="40"/>
      <c r="G17" s="49"/>
      <c r="H17" s="40"/>
      <c r="I17" s="40"/>
      <c r="J17" s="42">
        <v>1</v>
      </c>
      <c r="K17" s="43" t="s">
        <v>71</v>
      </c>
      <c r="L17" s="43" t="s">
        <v>72</v>
      </c>
      <c r="M17" s="44">
        <v>194</v>
      </c>
      <c r="N17" s="45">
        <v>1</v>
      </c>
      <c r="O17" s="45">
        <v>194</v>
      </c>
      <c r="P17" s="45">
        <f t="shared" si="0"/>
        <v>194</v>
      </c>
      <c r="Q17" s="46"/>
      <c r="R17" s="46"/>
      <c r="S17" s="47" t="str">
        <f t="shared" si="1"/>
        <v/>
      </c>
      <c r="T17" s="47" t="str">
        <f t="shared" si="2"/>
        <v/>
      </c>
      <c r="U17" s="47" t="str">
        <f t="shared" si="3"/>
        <v/>
      </c>
      <c r="V17" s="47">
        <f t="shared" si="4"/>
        <v>194</v>
      </c>
      <c r="W17" s="47" t="str">
        <f t="shared" si="5"/>
        <v/>
      </c>
      <c r="X17" s="47" t="str">
        <f t="shared" si="6"/>
        <v/>
      </c>
      <c r="Y17" s="47" t="str">
        <f t="shared" si="7"/>
        <v/>
      </c>
      <c r="Z17" s="47">
        <f t="shared" si="8"/>
        <v>194</v>
      </c>
      <c r="AA17" s="47" t="str">
        <f t="shared" si="9"/>
        <v/>
      </c>
      <c r="AB17" s="47" t="str">
        <f t="shared" si="10"/>
        <v/>
      </c>
      <c r="AC17" s="47" t="str">
        <f t="shared" si="11"/>
        <v/>
      </c>
      <c r="AD17" s="47" t="str">
        <f t="shared" si="12"/>
        <v/>
      </c>
      <c r="AE17" s="47" t="str">
        <f t="shared" si="13"/>
        <v/>
      </c>
      <c r="AF17" s="47" t="str">
        <f t="shared" si="14"/>
        <v/>
      </c>
      <c r="AG17" s="47" t="str">
        <f t="shared" si="15"/>
        <v/>
      </c>
    </row>
    <row r="18" spans="1:33" ht="26.25" x14ac:dyDescent="0.25">
      <c r="A18" s="36">
        <v>4</v>
      </c>
      <c r="B18" s="50" t="s">
        <v>73</v>
      </c>
      <c r="C18" s="37"/>
      <c r="D18" s="37"/>
      <c r="E18" s="37"/>
      <c r="F18" s="40"/>
      <c r="G18" s="41">
        <v>45656</v>
      </c>
      <c r="H18" s="40"/>
      <c r="I18" s="40"/>
      <c r="J18" s="42">
        <v>9</v>
      </c>
      <c r="K18" s="43" t="s">
        <v>74</v>
      </c>
      <c r="L18" s="43" t="s">
        <v>75</v>
      </c>
      <c r="M18" s="44">
        <v>32</v>
      </c>
      <c r="N18" s="45">
        <v>1</v>
      </c>
      <c r="O18" s="45">
        <v>288</v>
      </c>
      <c r="P18" s="45">
        <f t="shared" si="0"/>
        <v>288</v>
      </c>
      <c r="Q18" s="46"/>
      <c r="R18" s="46"/>
      <c r="S18" s="47" t="str">
        <f t="shared" si="1"/>
        <v/>
      </c>
      <c r="T18" s="47" t="str">
        <f t="shared" si="2"/>
        <v/>
      </c>
      <c r="U18" s="47" t="str">
        <f t="shared" si="3"/>
        <v/>
      </c>
      <c r="V18" s="47">
        <f t="shared" si="4"/>
        <v>288</v>
      </c>
      <c r="W18" s="47" t="str">
        <f t="shared" si="5"/>
        <v/>
      </c>
      <c r="X18" s="47" t="str">
        <f t="shared" si="6"/>
        <v/>
      </c>
      <c r="Y18" s="47" t="str">
        <f t="shared" si="7"/>
        <v/>
      </c>
      <c r="Z18" s="47">
        <f t="shared" si="8"/>
        <v>288</v>
      </c>
      <c r="AA18" s="47" t="str">
        <f t="shared" si="9"/>
        <v/>
      </c>
      <c r="AB18" s="47" t="str">
        <f t="shared" si="10"/>
        <v/>
      </c>
      <c r="AC18" s="47" t="str">
        <f t="shared" si="11"/>
        <v/>
      </c>
      <c r="AD18" s="47" t="str">
        <f t="shared" si="12"/>
        <v/>
      </c>
      <c r="AE18" s="47" t="str">
        <f t="shared" si="13"/>
        <v/>
      </c>
      <c r="AF18" s="47" t="str">
        <f t="shared" si="14"/>
        <v/>
      </c>
      <c r="AG18" s="47" t="str">
        <f t="shared" si="15"/>
        <v/>
      </c>
    </row>
    <row r="19" spans="1:33" ht="26.25" x14ac:dyDescent="0.25">
      <c r="A19" s="36">
        <v>4</v>
      </c>
      <c r="B19" s="50" t="s">
        <v>73</v>
      </c>
      <c r="C19" s="37"/>
      <c r="D19" s="37"/>
      <c r="E19" s="37"/>
      <c r="F19" s="40"/>
      <c r="G19" s="49"/>
      <c r="H19" s="40"/>
      <c r="I19" s="40"/>
      <c r="J19" s="42">
        <v>30</v>
      </c>
      <c r="K19" s="43" t="s">
        <v>56</v>
      </c>
      <c r="L19" s="43" t="s">
        <v>76</v>
      </c>
      <c r="M19" s="44">
        <v>8</v>
      </c>
      <c r="N19" s="45">
        <v>1</v>
      </c>
      <c r="O19" s="45">
        <v>240</v>
      </c>
      <c r="P19" s="45">
        <f t="shared" si="0"/>
        <v>240</v>
      </c>
      <c r="Q19" s="46"/>
      <c r="R19" s="46"/>
      <c r="S19" s="47" t="str">
        <f t="shared" si="1"/>
        <v/>
      </c>
      <c r="T19" s="47" t="str">
        <f t="shared" si="2"/>
        <v/>
      </c>
      <c r="U19" s="47" t="str">
        <f t="shared" si="3"/>
        <v/>
      </c>
      <c r="V19" s="47">
        <f t="shared" si="4"/>
        <v>240</v>
      </c>
      <c r="W19" s="47" t="str">
        <f t="shared" si="5"/>
        <v/>
      </c>
      <c r="X19" s="47" t="str">
        <f t="shared" si="6"/>
        <v/>
      </c>
      <c r="Y19" s="47" t="str">
        <f t="shared" si="7"/>
        <v/>
      </c>
      <c r="Z19" s="47">
        <f t="shared" si="8"/>
        <v>240</v>
      </c>
      <c r="AA19" s="47" t="str">
        <f t="shared" si="9"/>
        <v/>
      </c>
      <c r="AB19" s="47" t="str">
        <f t="shared" si="10"/>
        <v/>
      </c>
      <c r="AC19" s="47" t="str">
        <f t="shared" si="11"/>
        <v/>
      </c>
      <c r="AD19" s="47" t="str">
        <f t="shared" si="12"/>
        <v/>
      </c>
      <c r="AE19" s="47" t="str">
        <f t="shared" si="13"/>
        <v/>
      </c>
      <c r="AF19" s="47" t="str">
        <f t="shared" si="14"/>
        <v/>
      </c>
      <c r="AG19" s="47" t="str">
        <f t="shared" si="15"/>
        <v/>
      </c>
    </row>
    <row r="20" spans="1:33" ht="26.25" x14ac:dyDescent="0.25">
      <c r="A20" s="36">
        <v>4</v>
      </c>
      <c r="B20" s="50" t="s">
        <v>73</v>
      </c>
      <c r="C20" s="37"/>
      <c r="D20" s="37"/>
      <c r="E20" s="37"/>
      <c r="F20" s="40"/>
      <c r="G20" s="49"/>
      <c r="H20" s="40"/>
      <c r="I20" s="40"/>
      <c r="J20" s="42">
        <v>4</v>
      </c>
      <c r="K20" s="43" t="s">
        <v>60</v>
      </c>
      <c r="L20" s="43" t="s">
        <v>77</v>
      </c>
      <c r="M20" s="44">
        <v>32</v>
      </c>
      <c r="N20" s="45">
        <v>1</v>
      </c>
      <c r="O20" s="45">
        <v>128</v>
      </c>
      <c r="P20" s="45">
        <f t="shared" si="0"/>
        <v>128</v>
      </c>
      <c r="Q20" s="46"/>
      <c r="R20" s="46"/>
      <c r="S20" s="47" t="str">
        <f t="shared" si="1"/>
        <v/>
      </c>
      <c r="T20" s="47" t="str">
        <f t="shared" si="2"/>
        <v/>
      </c>
      <c r="U20" s="47" t="str">
        <f t="shared" si="3"/>
        <v/>
      </c>
      <c r="V20" s="47">
        <f t="shared" si="4"/>
        <v>128</v>
      </c>
      <c r="W20" s="47" t="str">
        <f t="shared" si="5"/>
        <v/>
      </c>
      <c r="X20" s="47" t="str">
        <f t="shared" si="6"/>
        <v/>
      </c>
      <c r="Y20" s="47" t="str">
        <f t="shared" si="7"/>
        <v/>
      </c>
      <c r="Z20" s="47">
        <f t="shared" si="8"/>
        <v>128</v>
      </c>
      <c r="AA20" s="47" t="str">
        <f t="shared" si="9"/>
        <v/>
      </c>
      <c r="AB20" s="47" t="str">
        <f t="shared" si="10"/>
        <v/>
      </c>
      <c r="AC20" s="47" t="str">
        <f t="shared" si="11"/>
        <v/>
      </c>
      <c r="AD20" s="47" t="str">
        <f t="shared" si="12"/>
        <v/>
      </c>
      <c r="AE20" s="47" t="str">
        <f t="shared" si="13"/>
        <v/>
      </c>
      <c r="AF20" s="47" t="str">
        <f t="shared" si="14"/>
        <v/>
      </c>
      <c r="AG20" s="47" t="str">
        <f t="shared" si="15"/>
        <v/>
      </c>
    </row>
    <row r="21" spans="1:33" ht="26.25" x14ac:dyDescent="0.25">
      <c r="A21" s="36">
        <v>4</v>
      </c>
      <c r="B21" s="50" t="s">
        <v>73</v>
      </c>
      <c r="C21" s="37"/>
      <c r="D21" s="37"/>
      <c r="E21" s="37"/>
      <c r="F21" s="40"/>
      <c r="G21" s="49"/>
      <c r="H21" s="40"/>
      <c r="I21" s="40"/>
      <c r="J21" s="42">
        <v>6</v>
      </c>
      <c r="K21" s="43" t="s">
        <v>78</v>
      </c>
      <c r="L21" s="43" t="s">
        <v>79</v>
      </c>
      <c r="M21" s="44">
        <v>119</v>
      </c>
      <c r="N21" s="45">
        <v>1</v>
      </c>
      <c r="O21" s="45">
        <v>714</v>
      </c>
      <c r="P21" s="45">
        <f t="shared" si="0"/>
        <v>714</v>
      </c>
      <c r="Q21" s="46"/>
      <c r="R21" s="46"/>
      <c r="S21" s="47" t="str">
        <f t="shared" si="1"/>
        <v/>
      </c>
      <c r="T21" s="47" t="str">
        <f t="shared" si="2"/>
        <v/>
      </c>
      <c r="U21" s="47" t="str">
        <f t="shared" si="3"/>
        <v/>
      </c>
      <c r="V21" s="47">
        <f t="shared" si="4"/>
        <v>714</v>
      </c>
      <c r="W21" s="47" t="str">
        <f t="shared" si="5"/>
        <v/>
      </c>
      <c r="X21" s="47" t="str">
        <f t="shared" si="6"/>
        <v/>
      </c>
      <c r="Y21" s="47" t="str">
        <f t="shared" si="7"/>
        <v/>
      </c>
      <c r="Z21" s="47">
        <f t="shared" si="8"/>
        <v>714</v>
      </c>
      <c r="AA21" s="47" t="str">
        <f t="shared" si="9"/>
        <v/>
      </c>
      <c r="AB21" s="47" t="str">
        <f t="shared" si="10"/>
        <v/>
      </c>
      <c r="AC21" s="47" t="str">
        <f t="shared" si="11"/>
        <v/>
      </c>
      <c r="AD21" s="47" t="str">
        <f t="shared" si="12"/>
        <v/>
      </c>
      <c r="AE21" s="47" t="str">
        <f t="shared" si="13"/>
        <v/>
      </c>
      <c r="AF21" s="47" t="str">
        <f t="shared" si="14"/>
        <v/>
      </c>
      <c r="AG21" s="47" t="str">
        <f t="shared" si="15"/>
        <v/>
      </c>
    </row>
    <row r="22" spans="1:33" x14ac:dyDescent="0.25">
      <c r="A22" s="36">
        <v>4</v>
      </c>
      <c r="B22" s="37" t="s">
        <v>64</v>
      </c>
      <c r="C22" s="38">
        <v>8117992542</v>
      </c>
      <c r="D22" s="37"/>
      <c r="E22" s="37"/>
      <c r="F22" s="40"/>
      <c r="G22" s="41">
        <v>45656</v>
      </c>
      <c r="H22" s="40"/>
      <c r="I22" s="40"/>
      <c r="J22" s="42">
        <v>225</v>
      </c>
      <c r="K22" s="43" t="s">
        <v>60</v>
      </c>
      <c r="L22" s="43" t="s">
        <v>80</v>
      </c>
      <c r="M22" s="44">
        <v>118</v>
      </c>
      <c r="N22" s="45">
        <v>1</v>
      </c>
      <c r="O22" s="45">
        <v>26550</v>
      </c>
      <c r="P22" s="45">
        <f t="shared" si="0"/>
        <v>26550</v>
      </c>
      <c r="Q22" s="46"/>
      <c r="R22" s="46"/>
      <c r="S22" s="47" t="str">
        <f t="shared" si="1"/>
        <v/>
      </c>
      <c r="T22" s="47" t="str">
        <f t="shared" si="2"/>
        <v/>
      </c>
      <c r="U22" s="47" t="str">
        <f t="shared" si="3"/>
        <v/>
      </c>
      <c r="V22" s="47">
        <f t="shared" si="4"/>
        <v>26550</v>
      </c>
      <c r="W22" s="47" t="str">
        <f t="shared" si="5"/>
        <v/>
      </c>
      <c r="X22" s="47" t="str">
        <f t="shared" si="6"/>
        <v/>
      </c>
      <c r="Y22" s="47" t="str">
        <f t="shared" si="7"/>
        <v/>
      </c>
      <c r="Z22" s="47">
        <f t="shared" si="8"/>
        <v>26550</v>
      </c>
      <c r="AA22" s="47" t="str">
        <f t="shared" si="9"/>
        <v/>
      </c>
      <c r="AB22" s="47" t="str">
        <f t="shared" si="10"/>
        <v/>
      </c>
      <c r="AC22" s="47" t="str">
        <f t="shared" si="11"/>
        <v/>
      </c>
      <c r="AD22" s="47" t="str">
        <f t="shared" si="12"/>
        <v/>
      </c>
      <c r="AE22" s="47" t="str">
        <f t="shared" si="13"/>
        <v/>
      </c>
      <c r="AF22" s="47" t="str">
        <f t="shared" si="14"/>
        <v/>
      </c>
      <c r="AG22" s="47" t="str">
        <f t="shared" si="15"/>
        <v/>
      </c>
    </row>
    <row r="23" spans="1:33" x14ac:dyDescent="0.25">
      <c r="A23" s="36">
        <v>4</v>
      </c>
      <c r="B23" s="37" t="s">
        <v>64</v>
      </c>
      <c r="C23" s="37"/>
      <c r="D23" s="37"/>
      <c r="E23" s="37"/>
      <c r="F23" s="40"/>
      <c r="G23" s="49"/>
      <c r="H23" s="40"/>
      <c r="I23" s="40"/>
      <c r="J23" s="42">
        <v>120</v>
      </c>
      <c r="K23" s="43" t="s">
        <v>46</v>
      </c>
      <c r="L23" s="43" t="s">
        <v>81</v>
      </c>
      <c r="M23" s="44">
        <v>2</v>
      </c>
      <c r="N23" s="45">
        <v>1</v>
      </c>
      <c r="O23" s="45">
        <v>240</v>
      </c>
      <c r="P23" s="45">
        <f t="shared" si="0"/>
        <v>240</v>
      </c>
      <c r="Q23" s="46"/>
      <c r="R23" s="46"/>
      <c r="S23" s="47" t="str">
        <f t="shared" si="1"/>
        <v/>
      </c>
      <c r="T23" s="47" t="str">
        <f t="shared" si="2"/>
        <v/>
      </c>
      <c r="U23" s="47" t="str">
        <f t="shared" si="3"/>
        <v/>
      </c>
      <c r="V23" s="47">
        <f t="shared" si="4"/>
        <v>240</v>
      </c>
      <c r="W23" s="47" t="str">
        <f t="shared" si="5"/>
        <v/>
      </c>
      <c r="X23" s="47" t="str">
        <f t="shared" si="6"/>
        <v/>
      </c>
      <c r="Y23" s="47" t="str">
        <f t="shared" si="7"/>
        <v/>
      </c>
      <c r="Z23" s="47">
        <f t="shared" si="8"/>
        <v>240</v>
      </c>
      <c r="AA23" s="47" t="str">
        <f t="shared" si="9"/>
        <v/>
      </c>
      <c r="AB23" s="47" t="str">
        <f t="shared" si="10"/>
        <v/>
      </c>
      <c r="AC23" s="47" t="str">
        <f t="shared" si="11"/>
        <v/>
      </c>
      <c r="AD23" s="47" t="str">
        <f t="shared" si="12"/>
        <v/>
      </c>
      <c r="AE23" s="47" t="str">
        <f t="shared" si="13"/>
        <v/>
      </c>
      <c r="AF23" s="47" t="str">
        <f t="shared" si="14"/>
        <v/>
      </c>
      <c r="AG23" s="47" t="str">
        <f t="shared" si="15"/>
        <v/>
      </c>
    </row>
    <row r="24" spans="1:33" x14ac:dyDescent="0.25">
      <c r="A24" s="36">
        <v>4</v>
      </c>
      <c r="B24" s="37" t="s">
        <v>64</v>
      </c>
      <c r="C24" s="37"/>
      <c r="D24" s="37"/>
      <c r="E24" s="37"/>
      <c r="F24" s="40"/>
      <c r="G24" s="49"/>
      <c r="H24" s="40"/>
      <c r="I24" s="40"/>
      <c r="J24" s="42">
        <v>2</v>
      </c>
      <c r="K24" s="43" t="s">
        <v>82</v>
      </c>
      <c r="L24" s="43" t="s">
        <v>83</v>
      </c>
      <c r="M24" s="44">
        <v>50</v>
      </c>
      <c r="N24" s="45">
        <v>1</v>
      </c>
      <c r="O24" s="45">
        <v>100</v>
      </c>
      <c r="P24" s="45">
        <f t="shared" si="0"/>
        <v>100</v>
      </c>
      <c r="Q24" s="46"/>
      <c r="R24" s="46"/>
      <c r="S24" s="47" t="str">
        <f t="shared" si="1"/>
        <v/>
      </c>
      <c r="T24" s="47" t="str">
        <f t="shared" si="2"/>
        <v/>
      </c>
      <c r="U24" s="47" t="str">
        <f t="shared" si="3"/>
        <v/>
      </c>
      <c r="V24" s="47">
        <f t="shared" si="4"/>
        <v>100</v>
      </c>
      <c r="W24" s="47" t="str">
        <f t="shared" si="5"/>
        <v/>
      </c>
      <c r="X24" s="47" t="str">
        <f t="shared" si="6"/>
        <v/>
      </c>
      <c r="Y24" s="47" t="str">
        <f t="shared" si="7"/>
        <v/>
      </c>
      <c r="Z24" s="47">
        <f t="shared" si="8"/>
        <v>100</v>
      </c>
      <c r="AA24" s="47" t="str">
        <f t="shared" si="9"/>
        <v/>
      </c>
      <c r="AB24" s="47" t="str">
        <f t="shared" si="10"/>
        <v/>
      </c>
      <c r="AC24" s="47" t="str">
        <f t="shared" si="11"/>
        <v/>
      </c>
      <c r="AD24" s="47" t="str">
        <f t="shared" si="12"/>
        <v/>
      </c>
      <c r="AE24" s="47" t="str">
        <f t="shared" si="13"/>
        <v/>
      </c>
      <c r="AF24" s="47" t="str">
        <f t="shared" si="14"/>
        <v/>
      </c>
      <c r="AG24" s="47" t="str">
        <f t="shared" si="15"/>
        <v/>
      </c>
    </row>
    <row r="25" spans="1:33" x14ac:dyDescent="0.25">
      <c r="A25" s="36">
        <v>4</v>
      </c>
      <c r="B25" s="37" t="s">
        <v>64</v>
      </c>
      <c r="C25" s="37"/>
      <c r="D25" s="37"/>
      <c r="E25" s="37"/>
      <c r="F25" s="40"/>
      <c r="G25" s="49"/>
      <c r="H25" s="40"/>
      <c r="I25" s="40"/>
      <c r="J25" s="42">
        <v>8</v>
      </c>
      <c r="K25" s="43" t="s">
        <v>46</v>
      </c>
      <c r="L25" s="43" t="s">
        <v>84</v>
      </c>
      <c r="M25" s="44">
        <v>20</v>
      </c>
      <c r="N25" s="45">
        <v>1</v>
      </c>
      <c r="O25" s="45">
        <v>160</v>
      </c>
      <c r="P25" s="45">
        <f t="shared" si="0"/>
        <v>160</v>
      </c>
      <c r="Q25" s="46"/>
      <c r="R25" s="46"/>
      <c r="S25" s="47" t="str">
        <f t="shared" si="1"/>
        <v/>
      </c>
      <c r="T25" s="47" t="str">
        <f t="shared" si="2"/>
        <v/>
      </c>
      <c r="U25" s="47" t="str">
        <f t="shared" si="3"/>
        <v/>
      </c>
      <c r="V25" s="47">
        <f t="shared" si="4"/>
        <v>160</v>
      </c>
      <c r="W25" s="47" t="str">
        <f t="shared" si="5"/>
        <v/>
      </c>
      <c r="X25" s="47" t="str">
        <f t="shared" si="6"/>
        <v/>
      </c>
      <c r="Y25" s="47" t="str">
        <f t="shared" si="7"/>
        <v/>
      </c>
      <c r="Z25" s="47">
        <f t="shared" si="8"/>
        <v>160</v>
      </c>
      <c r="AA25" s="47" t="str">
        <f t="shared" si="9"/>
        <v/>
      </c>
      <c r="AB25" s="47" t="str">
        <f t="shared" si="10"/>
        <v/>
      </c>
      <c r="AC25" s="47" t="str">
        <f t="shared" si="11"/>
        <v/>
      </c>
      <c r="AD25" s="47" t="str">
        <f t="shared" si="12"/>
        <v/>
      </c>
      <c r="AE25" s="47" t="str">
        <f t="shared" si="13"/>
        <v/>
      </c>
      <c r="AF25" s="47" t="str">
        <f t="shared" si="14"/>
        <v/>
      </c>
      <c r="AG25" s="47" t="str">
        <f t="shared" si="15"/>
        <v/>
      </c>
    </row>
    <row r="26" spans="1:33" x14ac:dyDescent="0.25">
      <c r="A26" s="36">
        <v>3</v>
      </c>
      <c r="B26" s="37" t="s">
        <v>59</v>
      </c>
      <c r="C26" s="38">
        <v>8122852815</v>
      </c>
      <c r="D26" s="37"/>
      <c r="E26" s="37"/>
      <c r="F26" s="40"/>
      <c r="G26" s="51">
        <v>45657</v>
      </c>
      <c r="H26" s="40"/>
      <c r="I26" s="40"/>
      <c r="J26" s="42">
        <v>30</v>
      </c>
      <c r="K26" s="43" t="s">
        <v>60</v>
      </c>
      <c r="L26" s="43" t="s">
        <v>61</v>
      </c>
      <c r="M26" s="44">
        <v>20</v>
      </c>
      <c r="N26" s="45">
        <v>1</v>
      </c>
      <c r="O26" s="45">
        <v>600</v>
      </c>
      <c r="P26" s="45">
        <f t="shared" si="0"/>
        <v>600</v>
      </c>
      <c r="Q26" s="46"/>
      <c r="R26" s="46"/>
      <c r="S26" s="47" t="str">
        <f t="shared" si="1"/>
        <v/>
      </c>
      <c r="T26" s="47" t="str">
        <f t="shared" si="2"/>
        <v/>
      </c>
      <c r="U26" s="47">
        <f t="shared" si="3"/>
        <v>600</v>
      </c>
      <c r="V26" s="47" t="str">
        <f t="shared" si="4"/>
        <v/>
      </c>
      <c r="W26" s="47" t="str">
        <f t="shared" si="5"/>
        <v/>
      </c>
      <c r="X26" s="47" t="str">
        <f t="shared" si="6"/>
        <v/>
      </c>
      <c r="Y26" s="47" t="str">
        <f t="shared" si="7"/>
        <v/>
      </c>
      <c r="Z26" s="47">
        <f t="shared" si="8"/>
        <v>600</v>
      </c>
      <c r="AA26" s="47" t="str">
        <f t="shared" si="9"/>
        <v/>
      </c>
      <c r="AB26" s="47" t="str">
        <f t="shared" si="10"/>
        <v/>
      </c>
      <c r="AC26" s="47" t="str">
        <f t="shared" si="11"/>
        <v/>
      </c>
      <c r="AD26" s="47" t="str">
        <f t="shared" si="12"/>
        <v/>
      </c>
      <c r="AE26" s="47" t="str">
        <f t="shared" si="13"/>
        <v/>
      </c>
      <c r="AF26" s="47" t="str">
        <f t="shared" si="14"/>
        <v/>
      </c>
      <c r="AG26" s="47" t="str">
        <f t="shared" si="15"/>
        <v/>
      </c>
    </row>
    <row r="27" spans="1:33" x14ac:dyDescent="0.25">
      <c r="A27" s="36">
        <v>4</v>
      </c>
      <c r="B27" s="37" t="s">
        <v>85</v>
      </c>
      <c r="C27" s="38">
        <v>8110178298</v>
      </c>
      <c r="D27" s="37"/>
      <c r="E27" s="37"/>
      <c r="F27" s="40"/>
      <c r="G27" s="51">
        <v>45657</v>
      </c>
      <c r="H27" s="40"/>
      <c r="I27" s="40"/>
      <c r="J27" s="42">
        <v>2</v>
      </c>
      <c r="K27" s="43" t="s">
        <v>46</v>
      </c>
      <c r="L27" s="43" t="s">
        <v>86</v>
      </c>
      <c r="M27" s="44">
        <v>500</v>
      </c>
      <c r="N27" s="45">
        <v>1</v>
      </c>
      <c r="O27" s="45">
        <v>1000</v>
      </c>
      <c r="P27" s="45">
        <f t="shared" si="0"/>
        <v>1000</v>
      </c>
      <c r="Q27" s="46"/>
      <c r="R27" s="46"/>
      <c r="S27" s="47" t="str">
        <f t="shared" si="1"/>
        <v/>
      </c>
      <c r="T27" s="47" t="str">
        <f t="shared" si="2"/>
        <v/>
      </c>
      <c r="U27" s="47" t="str">
        <f t="shared" si="3"/>
        <v/>
      </c>
      <c r="V27" s="47">
        <f t="shared" si="4"/>
        <v>1000</v>
      </c>
      <c r="W27" s="47" t="str">
        <f t="shared" si="5"/>
        <v/>
      </c>
      <c r="X27" s="47" t="str">
        <f t="shared" si="6"/>
        <v/>
      </c>
      <c r="Y27" s="47" t="str">
        <f t="shared" si="7"/>
        <v/>
      </c>
      <c r="Z27" s="47">
        <f t="shared" si="8"/>
        <v>1000</v>
      </c>
      <c r="AA27" s="47" t="str">
        <f t="shared" si="9"/>
        <v/>
      </c>
      <c r="AB27" s="47" t="str">
        <f t="shared" si="10"/>
        <v/>
      </c>
      <c r="AC27" s="47" t="str">
        <f t="shared" si="11"/>
        <v/>
      </c>
      <c r="AD27" s="47" t="str">
        <f t="shared" si="12"/>
        <v/>
      </c>
      <c r="AE27" s="47" t="str">
        <f t="shared" si="13"/>
        <v/>
      </c>
      <c r="AF27" s="47" t="str">
        <f t="shared" si="14"/>
        <v/>
      </c>
      <c r="AG27" s="47" t="str">
        <f t="shared" si="15"/>
        <v/>
      </c>
    </row>
    <row r="28" spans="1:33" x14ac:dyDescent="0.25">
      <c r="A28" s="36">
        <v>3</v>
      </c>
      <c r="B28" s="37" t="s">
        <v>87</v>
      </c>
      <c r="C28" s="38">
        <v>8182804733</v>
      </c>
      <c r="D28" s="37"/>
      <c r="E28" s="37"/>
      <c r="F28" s="40"/>
      <c r="G28" s="51">
        <v>45657</v>
      </c>
      <c r="H28" s="40"/>
      <c r="I28" s="40"/>
      <c r="J28" s="42">
        <v>1</v>
      </c>
      <c r="K28" s="43" t="s">
        <v>46</v>
      </c>
      <c r="L28" s="43" t="s">
        <v>88</v>
      </c>
      <c r="M28" s="44">
        <v>100</v>
      </c>
      <c r="N28" s="45">
        <v>1</v>
      </c>
      <c r="O28" s="45">
        <v>100</v>
      </c>
      <c r="P28" s="45">
        <f t="shared" si="0"/>
        <v>100</v>
      </c>
      <c r="Q28" s="46"/>
      <c r="R28" s="46"/>
      <c r="S28" s="47" t="str">
        <f t="shared" si="1"/>
        <v/>
      </c>
      <c r="T28" s="47" t="str">
        <f t="shared" si="2"/>
        <v/>
      </c>
      <c r="U28" s="47">
        <f t="shared" si="3"/>
        <v>100</v>
      </c>
      <c r="V28" s="47" t="str">
        <f t="shared" si="4"/>
        <v/>
      </c>
      <c r="W28" s="47" t="str">
        <f t="shared" si="5"/>
        <v/>
      </c>
      <c r="X28" s="47" t="str">
        <f t="shared" si="6"/>
        <v/>
      </c>
      <c r="Y28" s="47" t="str">
        <f t="shared" si="7"/>
        <v/>
      </c>
      <c r="Z28" s="47">
        <f t="shared" si="8"/>
        <v>100</v>
      </c>
      <c r="AA28" s="47" t="str">
        <f t="shared" si="9"/>
        <v/>
      </c>
      <c r="AB28" s="47" t="str">
        <f t="shared" si="10"/>
        <v/>
      </c>
      <c r="AC28" s="47" t="str">
        <f t="shared" si="11"/>
        <v/>
      </c>
      <c r="AD28" s="47" t="str">
        <f t="shared" si="12"/>
        <v/>
      </c>
      <c r="AE28" s="47" t="str">
        <f t="shared" si="13"/>
        <v/>
      </c>
      <c r="AF28" s="47" t="str">
        <f t="shared" si="14"/>
        <v/>
      </c>
      <c r="AG28" s="47" t="str">
        <f t="shared" si="15"/>
        <v/>
      </c>
    </row>
    <row r="29" spans="1:33" x14ac:dyDescent="0.25">
      <c r="A29" s="36">
        <v>3</v>
      </c>
      <c r="B29" s="37" t="s">
        <v>87</v>
      </c>
      <c r="C29" s="37"/>
      <c r="D29" s="37"/>
      <c r="E29" s="37"/>
      <c r="F29" s="40"/>
      <c r="G29" s="52"/>
      <c r="H29" s="40"/>
      <c r="I29" s="40"/>
      <c r="J29" s="53">
        <v>4</v>
      </c>
      <c r="K29" s="43" t="s">
        <v>46</v>
      </c>
      <c r="L29" s="43" t="s">
        <v>65</v>
      </c>
      <c r="M29" s="44">
        <v>100</v>
      </c>
      <c r="N29" s="45">
        <v>1</v>
      </c>
      <c r="O29" s="45">
        <v>400</v>
      </c>
      <c r="P29" s="45">
        <f t="shared" si="0"/>
        <v>400</v>
      </c>
      <c r="Q29" s="46"/>
      <c r="R29" s="46"/>
      <c r="S29" s="47" t="str">
        <f t="shared" si="1"/>
        <v/>
      </c>
      <c r="T29" s="47" t="str">
        <f t="shared" si="2"/>
        <v/>
      </c>
      <c r="U29" s="47">
        <f t="shared" si="3"/>
        <v>400</v>
      </c>
      <c r="V29" s="47" t="str">
        <f t="shared" si="4"/>
        <v/>
      </c>
      <c r="W29" s="47" t="str">
        <f t="shared" si="5"/>
        <v/>
      </c>
      <c r="X29" s="47" t="str">
        <f t="shared" si="6"/>
        <v/>
      </c>
      <c r="Y29" s="47" t="str">
        <f t="shared" si="7"/>
        <v/>
      </c>
      <c r="Z29" s="47">
        <f t="shared" si="8"/>
        <v>400</v>
      </c>
      <c r="AA29" s="47" t="str">
        <f t="shared" si="9"/>
        <v/>
      </c>
      <c r="AB29" s="47" t="str">
        <f t="shared" si="10"/>
        <v/>
      </c>
      <c r="AC29" s="47" t="str">
        <f t="shared" si="11"/>
        <v/>
      </c>
      <c r="AD29" s="47" t="str">
        <f t="shared" si="12"/>
        <v/>
      </c>
      <c r="AE29" s="47" t="str">
        <f t="shared" si="13"/>
        <v/>
      </c>
      <c r="AF29" s="47" t="str">
        <f t="shared" si="14"/>
        <v/>
      </c>
      <c r="AG29" s="47" t="str">
        <f t="shared" si="15"/>
        <v/>
      </c>
    </row>
    <row r="30" spans="1:33" x14ac:dyDescent="0.25">
      <c r="A30" s="36">
        <v>3</v>
      </c>
      <c r="B30" s="37" t="s">
        <v>64</v>
      </c>
      <c r="C30" s="38">
        <v>8117992542</v>
      </c>
      <c r="D30" s="37"/>
      <c r="E30" s="37"/>
      <c r="F30" s="40"/>
      <c r="G30" s="51">
        <v>45659</v>
      </c>
      <c r="H30" s="40"/>
      <c r="I30" s="40"/>
      <c r="J30" s="42">
        <v>16</v>
      </c>
      <c r="K30" s="43" t="s">
        <v>89</v>
      </c>
      <c r="L30" s="43" t="s">
        <v>90</v>
      </c>
      <c r="M30" s="44">
        <v>232</v>
      </c>
      <c r="N30" s="45">
        <v>1</v>
      </c>
      <c r="O30" s="45">
        <v>3712</v>
      </c>
      <c r="P30" s="45">
        <f t="shared" si="0"/>
        <v>3712</v>
      </c>
      <c r="Q30" s="46"/>
      <c r="R30" s="46"/>
      <c r="S30" s="47" t="str">
        <f t="shared" si="1"/>
        <v/>
      </c>
      <c r="T30" s="47" t="str">
        <f t="shared" si="2"/>
        <v/>
      </c>
      <c r="U30" s="47">
        <f t="shared" si="3"/>
        <v>3712</v>
      </c>
      <c r="V30" s="47" t="str">
        <f t="shared" si="4"/>
        <v/>
      </c>
      <c r="W30" s="47" t="str">
        <f t="shared" si="5"/>
        <v/>
      </c>
      <c r="X30" s="47" t="str">
        <f t="shared" si="6"/>
        <v/>
      </c>
      <c r="Y30" s="47" t="str">
        <f t="shared" si="7"/>
        <v/>
      </c>
      <c r="Z30" s="47">
        <f t="shared" si="8"/>
        <v>3712</v>
      </c>
      <c r="AA30" s="47" t="str">
        <f t="shared" si="9"/>
        <v/>
      </c>
      <c r="AB30" s="47" t="str">
        <f t="shared" si="10"/>
        <v/>
      </c>
      <c r="AC30" s="47" t="str">
        <f t="shared" si="11"/>
        <v/>
      </c>
      <c r="AD30" s="47" t="str">
        <f t="shared" si="12"/>
        <v/>
      </c>
      <c r="AE30" s="47" t="str">
        <f t="shared" si="13"/>
        <v/>
      </c>
      <c r="AF30" s="47" t="str">
        <f t="shared" si="14"/>
        <v/>
      </c>
      <c r="AG30" s="47" t="str">
        <f t="shared" si="15"/>
        <v/>
      </c>
    </row>
    <row r="31" spans="1:33" x14ac:dyDescent="0.25">
      <c r="A31" s="36">
        <v>3</v>
      </c>
      <c r="B31" s="37" t="s">
        <v>64</v>
      </c>
      <c r="C31" s="37"/>
      <c r="D31" s="37"/>
      <c r="E31" s="37"/>
      <c r="F31" s="40"/>
      <c r="G31" s="49"/>
      <c r="H31" s="40"/>
      <c r="I31" s="40"/>
      <c r="J31" s="42">
        <v>30</v>
      </c>
      <c r="K31" s="43" t="s">
        <v>46</v>
      </c>
      <c r="L31" s="43" t="s">
        <v>91</v>
      </c>
      <c r="M31" s="44">
        <v>118</v>
      </c>
      <c r="N31" s="45">
        <v>1</v>
      </c>
      <c r="O31" s="45">
        <v>3540</v>
      </c>
      <c r="P31" s="45">
        <f t="shared" si="0"/>
        <v>3540</v>
      </c>
      <c r="Q31" s="46"/>
      <c r="R31" s="46"/>
      <c r="S31" s="47" t="str">
        <f t="shared" si="1"/>
        <v/>
      </c>
      <c r="T31" s="47" t="str">
        <f t="shared" si="2"/>
        <v/>
      </c>
      <c r="U31" s="47">
        <f t="shared" si="3"/>
        <v>3540</v>
      </c>
      <c r="V31" s="47" t="str">
        <f t="shared" si="4"/>
        <v/>
      </c>
      <c r="W31" s="47" t="str">
        <f t="shared" si="5"/>
        <v/>
      </c>
      <c r="X31" s="47" t="str">
        <f t="shared" si="6"/>
        <v/>
      </c>
      <c r="Y31" s="47" t="str">
        <f t="shared" si="7"/>
        <v/>
      </c>
      <c r="Z31" s="47">
        <f t="shared" si="8"/>
        <v>3540</v>
      </c>
      <c r="AA31" s="47" t="str">
        <f t="shared" si="9"/>
        <v/>
      </c>
      <c r="AB31" s="47" t="str">
        <f t="shared" si="10"/>
        <v/>
      </c>
      <c r="AC31" s="47" t="str">
        <f t="shared" si="11"/>
        <v/>
      </c>
      <c r="AD31" s="47" t="str">
        <f t="shared" si="12"/>
        <v/>
      </c>
      <c r="AE31" s="47" t="str">
        <f t="shared" si="13"/>
        <v/>
      </c>
      <c r="AF31" s="47" t="str">
        <f t="shared" si="14"/>
        <v/>
      </c>
      <c r="AG31" s="47" t="str">
        <f t="shared" si="15"/>
        <v/>
      </c>
    </row>
    <row r="32" spans="1:33" x14ac:dyDescent="0.25">
      <c r="A32" s="36">
        <v>2</v>
      </c>
      <c r="B32" s="54" t="s">
        <v>92</v>
      </c>
      <c r="C32" s="55">
        <v>8181850101</v>
      </c>
      <c r="D32" s="54"/>
      <c r="E32" s="54"/>
      <c r="F32" s="54"/>
      <c r="G32" s="56">
        <v>45659</v>
      </c>
      <c r="H32" s="54"/>
      <c r="I32" s="54"/>
      <c r="J32" s="57">
        <v>7</v>
      </c>
      <c r="K32" s="54" t="s">
        <v>56</v>
      </c>
      <c r="L32" s="54" t="s">
        <v>93</v>
      </c>
      <c r="M32" s="58">
        <v>39</v>
      </c>
      <c r="N32" s="59">
        <v>1</v>
      </c>
      <c r="O32" s="59">
        <v>273</v>
      </c>
      <c r="P32" s="59">
        <f t="shared" si="0"/>
        <v>273</v>
      </c>
      <c r="Q32" s="54"/>
      <c r="R32" s="54"/>
      <c r="S32" s="60" t="str">
        <f t="shared" si="1"/>
        <v/>
      </c>
      <c r="T32" s="60">
        <f t="shared" si="2"/>
        <v>273</v>
      </c>
      <c r="U32" s="60" t="str">
        <f t="shared" si="3"/>
        <v/>
      </c>
      <c r="V32" s="60" t="str">
        <f t="shared" si="4"/>
        <v/>
      </c>
      <c r="W32" s="60" t="str">
        <f t="shared" si="5"/>
        <v/>
      </c>
      <c r="X32" s="60" t="str">
        <f t="shared" si="6"/>
        <v/>
      </c>
      <c r="Y32" s="60" t="str">
        <f t="shared" si="7"/>
        <v/>
      </c>
      <c r="Z32" s="60"/>
      <c r="AA32" s="60" t="str">
        <f t="shared" si="9"/>
        <v/>
      </c>
      <c r="AB32" s="60" t="str">
        <f t="shared" si="10"/>
        <v/>
      </c>
      <c r="AC32" s="60" t="str">
        <f t="shared" si="11"/>
        <v/>
      </c>
      <c r="AD32" s="60" t="str">
        <f t="shared" si="12"/>
        <v/>
      </c>
      <c r="AE32" s="60" t="str">
        <f t="shared" si="13"/>
        <v/>
      </c>
      <c r="AF32" s="60" t="str">
        <f t="shared" si="14"/>
        <v/>
      </c>
      <c r="AG32" s="60" t="str">
        <f t="shared" si="15"/>
        <v/>
      </c>
    </row>
    <row r="33" spans="1:33" x14ac:dyDescent="0.25">
      <c r="A33" s="36">
        <v>2</v>
      </c>
      <c r="B33" s="54" t="s">
        <v>92</v>
      </c>
      <c r="C33" s="54"/>
      <c r="D33" s="54"/>
      <c r="E33" s="54"/>
      <c r="F33" s="54"/>
      <c r="G33" s="61"/>
      <c r="H33" s="54"/>
      <c r="I33" s="54"/>
      <c r="J33" s="57">
        <v>1</v>
      </c>
      <c r="K33" s="54" t="s">
        <v>56</v>
      </c>
      <c r="L33" s="54" t="s">
        <v>94</v>
      </c>
      <c r="M33" s="58">
        <v>57</v>
      </c>
      <c r="N33" s="59">
        <v>1</v>
      </c>
      <c r="O33" s="59">
        <v>57</v>
      </c>
      <c r="P33" s="59">
        <f t="shared" si="0"/>
        <v>57</v>
      </c>
      <c r="Q33" s="54"/>
      <c r="R33" s="54"/>
      <c r="S33" s="60" t="str">
        <f t="shared" si="1"/>
        <v/>
      </c>
      <c r="T33" s="60">
        <f t="shared" si="2"/>
        <v>57</v>
      </c>
      <c r="U33" s="60" t="str">
        <f t="shared" si="3"/>
        <v/>
      </c>
      <c r="V33" s="60" t="str">
        <f t="shared" si="4"/>
        <v/>
      </c>
      <c r="W33" s="60" t="str">
        <f t="shared" si="5"/>
        <v/>
      </c>
      <c r="X33" s="60" t="str">
        <f t="shared" si="6"/>
        <v/>
      </c>
      <c r="Y33" s="60" t="str">
        <f t="shared" si="7"/>
        <v/>
      </c>
      <c r="Z33" s="60"/>
      <c r="AA33" s="60" t="str">
        <f t="shared" si="9"/>
        <v/>
      </c>
      <c r="AB33" s="60" t="str">
        <f t="shared" si="10"/>
        <v/>
      </c>
      <c r="AC33" s="60" t="str">
        <f t="shared" si="11"/>
        <v/>
      </c>
      <c r="AD33" s="60" t="str">
        <f t="shared" si="12"/>
        <v/>
      </c>
      <c r="AE33" s="60" t="str">
        <f t="shared" si="13"/>
        <v/>
      </c>
      <c r="AF33" s="60" t="str">
        <f t="shared" si="14"/>
        <v/>
      </c>
      <c r="AG33" s="60" t="str">
        <f t="shared" si="15"/>
        <v/>
      </c>
    </row>
    <row r="34" spans="1:33" x14ac:dyDescent="0.25">
      <c r="A34" s="36">
        <v>2</v>
      </c>
      <c r="B34" s="54" t="s">
        <v>92</v>
      </c>
      <c r="C34" s="54"/>
      <c r="D34" s="54"/>
      <c r="E34" s="54"/>
      <c r="F34" s="54"/>
      <c r="G34" s="61"/>
      <c r="H34" s="54"/>
      <c r="I34" s="54"/>
      <c r="J34" s="57">
        <v>1.5</v>
      </c>
      <c r="K34" s="54" t="s">
        <v>56</v>
      </c>
      <c r="L34" s="54" t="s">
        <v>95</v>
      </c>
      <c r="M34" s="58">
        <v>53.5</v>
      </c>
      <c r="N34" s="59">
        <v>1</v>
      </c>
      <c r="O34" s="59">
        <v>80.25</v>
      </c>
      <c r="P34" s="59">
        <f t="shared" si="0"/>
        <v>80.25</v>
      </c>
      <c r="Q34" s="54"/>
      <c r="R34" s="54"/>
      <c r="S34" s="60" t="str">
        <f t="shared" si="1"/>
        <v/>
      </c>
      <c r="T34" s="60">
        <f t="shared" si="2"/>
        <v>80.25</v>
      </c>
      <c r="U34" s="60" t="str">
        <f t="shared" si="3"/>
        <v/>
      </c>
      <c r="V34" s="60" t="str">
        <f t="shared" si="4"/>
        <v/>
      </c>
      <c r="W34" s="60" t="str">
        <f t="shared" si="5"/>
        <v/>
      </c>
      <c r="X34" s="60" t="str">
        <f t="shared" si="6"/>
        <v/>
      </c>
      <c r="Y34" s="60" t="str">
        <f t="shared" si="7"/>
        <v/>
      </c>
      <c r="Z34" s="60"/>
      <c r="AA34" s="60" t="str">
        <f t="shared" si="9"/>
        <v/>
      </c>
      <c r="AB34" s="60" t="str">
        <f t="shared" si="10"/>
        <v/>
      </c>
      <c r="AC34" s="60" t="str">
        <f t="shared" si="11"/>
        <v/>
      </c>
      <c r="AD34" s="60" t="str">
        <f t="shared" si="12"/>
        <v/>
      </c>
      <c r="AE34" s="60" t="str">
        <f t="shared" si="13"/>
        <v/>
      </c>
      <c r="AF34" s="60" t="str">
        <f t="shared" si="14"/>
        <v/>
      </c>
      <c r="AG34" s="60" t="str">
        <f t="shared" si="15"/>
        <v/>
      </c>
    </row>
    <row r="35" spans="1:33" x14ac:dyDescent="0.25">
      <c r="A35" s="36">
        <v>4</v>
      </c>
      <c r="B35" s="37" t="s">
        <v>96</v>
      </c>
      <c r="C35" s="38">
        <v>8114680533</v>
      </c>
      <c r="D35" s="37"/>
      <c r="E35" s="37"/>
      <c r="F35" s="40"/>
      <c r="G35" s="51">
        <v>45660</v>
      </c>
      <c r="H35" s="40"/>
      <c r="I35" s="40"/>
      <c r="J35" s="42">
        <v>2</v>
      </c>
      <c r="K35" s="43" t="s">
        <v>97</v>
      </c>
      <c r="L35" s="43" t="s">
        <v>63</v>
      </c>
      <c r="M35" s="44">
        <v>975</v>
      </c>
      <c r="N35" s="45">
        <v>1</v>
      </c>
      <c r="O35" s="45">
        <v>1950</v>
      </c>
      <c r="P35" s="45">
        <f t="shared" si="0"/>
        <v>1950</v>
      </c>
      <c r="Q35" s="46"/>
      <c r="R35" s="46"/>
      <c r="S35" s="47" t="str">
        <f t="shared" si="1"/>
        <v/>
      </c>
      <c r="T35" s="47" t="str">
        <f t="shared" si="2"/>
        <v/>
      </c>
      <c r="U35" s="47" t="str">
        <f t="shared" si="3"/>
        <v/>
      </c>
      <c r="V35" s="47">
        <f t="shared" si="4"/>
        <v>1950</v>
      </c>
      <c r="W35" s="47" t="str">
        <f t="shared" si="5"/>
        <v/>
      </c>
      <c r="X35" s="47" t="str">
        <f t="shared" si="6"/>
        <v/>
      </c>
      <c r="Y35" s="47" t="str">
        <f t="shared" si="7"/>
        <v/>
      </c>
      <c r="Z35" s="47">
        <f t="shared" ref="Z35:Z100" si="16">IF($N35=1,$P35,"")</f>
        <v>1950</v>
      </c>
      <c r="AA35" s="47" t="str">
        <f t="shared" si="9"/>
        <v/>
      </c>
      <c r="AB35" s="47" t="str">
        <f t="shared" si="10"/>
        <v/>
      </c>
      <c r="AC35" s="47" t="str">
        <f t="shared" si="11"/>
        <v/>
      </c>
      <c r="AD35" s="47" t="str">
        <f t="shared" si="12"/>
        <v/>
      </c>
      <c r="AE35" s="47" t="str">
        <f t="shared" si="13"/>
        <v/>
      </c>
      <c r="AF35" s="47" t="str">
        <f t="shared" si="14"/>
        <v/>
      </c>
      <c r="AG35" s="47" t="str">
        <f t="shared" si="15"/>
        <v/>
      </c>
    </row>
    <row r="36" spans="1:33" x14ac:dyDescent="0.25">
      <c r="A36" s="36">
        <v>3</v>
      </c>
      <c r="B36" s="37" t="s">
        <v>98</v>
      </c>
      <c r="C36" s="38">
        <v>8126324633</v>
      </c>
      <c r="D36" s="37"/>
      <c r="E36" s="37"/>
      <c r="F36" s="40"/>
      <c r="G36" s="51">
        <v>45661</v>
      </c>
      <c r="H36" s="40"/>
      <c r="I36" s="40"/>
      <c r="J36" s="42">
        <v>23</v>
      </c>
      <c r="K36" s="43" t="s">
        <v>46</v>
      </c>
      <c r="L36" s="43" t="s">
        <v>99</v>
      </c>
      <c r="M36" s="44">
        <v>10</v>
      </c>
      <c r="N36" s="45">
        <v>3</v>
      </c>
      <c r="O36" s="45">
        <v>230</v>
      </c>
      <c r="P36" s="45">
        <f t="shared" si="0"/>
        <v>230</v>
      </c>
      <c r="Q36" s="46"/>
      <c r="R36" s="46"/>
      <c r="S36" s="47" t="str">
        <f t="shared" si="1"/>
        <v/>
      </c>
      <c r="T36" s="47" t="str">
        <f t="shared" si="2"/>
        <v/>
      </c>
      <c r="U36" s="47">
        <f t="shared" si="3"/>
        <v>230</v>
      </c>
      <c r="V36" s="47" t="str">
        <f t="shared" si="4"/>
        <v/>
      </c>
      <c r="W36" s="47" t="str">
        <f t="shared" si="5"/>
        <v/>
      </c>
      <c r="X36" s="47" t="str">
        <f t="shared" si="6"/>
        <v/>
      </c>
      <c r="Y36" s="47" t="str">
        <f t="shared" si="7"/>
        <v/>
      </c>
      <c r="Z36" s="47" t="str">
        <f t="shared" si="16"/>
        <v/>
      </c>
      <c r="AA36" s="47" t="str">
        <f t="shared" si="9"/>
        <v/>
      </c>
      <c r="AB36" s="47">
        <f t="shared" si="10"/>
        <v>230</v>
      </c>
      <c r="AC36" s="47" t="str">
        <f t="shared" si="11"/>
        <v/>
      </c>
      <c r="AD36" s="47" t="str">
        <f t="shared" si="12"/>
        <v/>
      </c>
      <c r="AE36" s="47" t="str">
        <f t="shared" si="13"/>
        <v/>
      </c>
      <c r="AF36" s="47" t="str">
        <f t="shared" si="14"/>
        <v/>
      </c>
      <c r="AG36" s="47" t="str">
        <f t="shared" si="15"/>
        <v/>
      </c>
    </row>
    <row r="37" spans="1:33" x14ac:dyDescent="0.25">
      <c r="A37" s="36">
        <v>4</v>
      </c>
      <c r="B37" s="37" t="s">
        <v>100</v>
      </c>
      <c r="C37" s="38">
        <v>8123803201</v>
      </c>
      <c r="D37" s="37"/>
      <c r="E37" s="37"/>
      <c r="F37" s="40"/>
      <c r="G37" s="51">
        <v>45662</v>
      </c>
      <c r="H37" s="40"/>
      <c r="I37" s="40"/>
      <c r="J37" s="42">
        <v>6</v>
      </c>
      <c r="K37" s="43" t="s">
        <v>46</v>
      </c>
      <c r="L37" s="43" t="s">
        <v>101</v>
      </c>
      <c r="M37" s="44">
        <v>130</v>
      </c>
      <c r="N37" s="45">
        <v>1</v>
      </c>
      <c r="O37" s="45">
        <v>780</v>
      </c>
      <c r="P37" s="45">
        <f t="shared" si="0"/>
        <v>780</v>
      </c>
      <c r="Q37" s="46"/>
      <c r="R37" s="46"/>
      <c r="S37" s="47" t="str">
        <f t="shared" si="1"/>
        <v/>
      </c>
      <c r="T37" s="47" t="str">
        <f t="shared" si="2"/>
        <v/>
      </c>
      <c r="U37" s="47" t="str">
        <f t="shared" si="3"/>
        <v/>
      </c>
      <c r="V37" s="47">
        <f t="shared" si="4"/>
        <v>780</v>
      </c>
      <c r="W37" s="47" t="str">
        <f t="shared" si="5"/>
        <v/>
      </c>
      <c r="X37" s="47" t="str">
        <f t="shared" si="6"/>
        <v/>
      </c>
      <c r="Y37" s="47" t="str">
        <f t="shared" si="7"/>
        <v/>
      </c>
      <c r="Z37" s="47">
        <f t="shared" si="16"/>
        <v>780</v>
      </c>
      <c r="AA37" s="47" t="str">
        <f t="shared" si="9"/>
        <v/>
      </c>
      <c r="AB37" s="47" t="str">
        <f t="shared" si="10"/>
        <v/>
      </c>
      <c r="AC37" s="47" t="str">
        <f t="shared" si="11"/>
        <v/>
      </c>
      <c r="AD37" s="47" t="str">
        <f t="shared" si="12"/>
        <v/>
      </c>
      <c r="AE37" s="47" t="str">
        <f t="shared" si="13"/>
        <v/>
      </c>
      <c r="AF37" s="47" t="str">
        <f t="shared" si="14"/>
        <v/>
      </c>
      <c r="AG37" s="47" t="str">
        <f t="shared" si="15"/>
        <v/>
      </c>
    </row>
    <row r="38" spans="1:33" x14ac:dyDescent="0.25">
      <c r="A38" s="36">
        <v>4</v>
      </c>
      <c r="B38" s="37" t="s">
        <v>100</v>
      </c>
      <c r="C38" s="37"/>
      <c r="D38" s="37"/>
      <c r="E38" s="37"/>
      <c r="F38" s="40"/>
      <c r="G38" s="49"/>
      <c r="H38" s="40"/>
      <c r="I38" s="40"/>
      <c r="J38" s="42">
        <v>6</v>
      </c>
      <c r="K38" s="43" t="s">
        <v>46</v>
      </c>
      <c r="L38" s="43" t="s">
        <v>102</v>
      </c>
      <c r="M38" s="44">
        <v>40</v>
      </c>
      <c r="N38" s="45">
        <v>1</v>
      </c>
      <c r="O38" s="45">
        <v>240</v>
      </c>
      <c r="P38" s="45">
        <f t="shared" si="0"/>
        <v>240</v>
      </c>
      <c r="Q38" s="46"/>
      <c r="R38" s="46"/>
      <c r="S38" s="47" t="str">
        <f t="shared" si="1"/>
        <v/>
      </c>
      <c r="T38" s="47" t="str">
        <f t="shared" si="2"/>
        <v/>
      </c>
      <c r="U38" s="47" t="str">
        <f t="shared" si="3"/>
        <v/>
      </c>
      <c r="V38" s="47">
        <f t="shared" si="4"/>
        <v>240</v>
      </c>
      <c r="W38" s="47" t="str">
        <f t="shared" si="5"/>
        <v/>
      </c>
      <c r="X38" s="47" t="str">
        <f t="shared" si="6"/>
        <v/>
      </c>
      <c r="Y38" s="47" t="str">
        <f t="shared" si="7"/>
        <v/>
      </c>
      <c r="Z38" s="47">
        <f t="shared" si="16"/>
        <v>240</v>
      </c>
      <c r="AA38" s="47" t="str">
        <f t="shared" si="9"/>
        <v/>
      </c>
      <c r="AB38" s="47" t="str">
        <f t="shared" si="10"/>
        <v/>
      </c>
      <c r="AC38" s="47" t="str">
        <f t="shared" si="11"/>
        <v/>
      </c>
      <c r="AD38" s="47" t="str">
        <f t="shared" si="12"/>
        <v/>
      </c>
      <c r="AE38" s="47" t="str">
        <f t="shared" si="13"/>
        <v/>
      </c>
      <c r="AF38" s="47" t="str">
        <f t="shared" si="14"/>
        <v/>
      </c>
      <c r="AG38" s="47" t="str">
        <f t="shared" si="15"/>
        <v/>
      </c>
    </row>
    <row r="39" spans="1:33" x14ac:dyDescent="0.25">
      <c r="A39" s="36">
        <v>3</v>
      </c>
      <c r="B39" s="37" t="s">
        <v>103</v>
      </c>
      <c r="C39" s="38">
        <v>8112556265</v>
      </c>
      <c r="D39" s="37"/>
      <c r="E39" s="37"/>
      <c r="F39" s="40"/>
      <c r="G39" s="51">
        <v>45663</v>
      </c>
      <c r="H39" s="40"/>
      <c r="I39" s="40"/>
      <c r="J39" s="42">
        <v>18</v>
      </c>
      <c r="K39" s="43" t="s">
        <v>60</v>
      </c>
      <c r="L39" s="43" t="s">
        <v>61</v>
      </c>
      <c r="M39" s="44">
        <v>20</v>
      </c>
      <c r="N39" s="45">
        <v>1</v>
      </c>
      <c r="O39" s="45">
        <v>360</v>
      </c>
      <c r="P39" s="45">
        <f t="shared" si="0"/>
        <v>360</v>
      </c>
      <c r="Q39" s="46"/>
      <c r="R39" s="46"/>
      <c r="S39" s="47" t="str">
        <f t="shared" si="1"/>
        <v/>
      </c>
      <c r="T39" s="47" t="str">
        <f t="shared" si="2"/>
        <v/>
      </c>
      <c r="U39" s="47">
        <f t="shared" si="3"/>
        <v>360</v>
      </c>
      <c r="V39" s="47" t="str">
        <f t="shared" si="4"/>
        <v/>
      </c>
      <c r="W39" s="47" t="str">
        <f t="shared" si="5"/>
        <v/>
      </c>
      <c r="X39" s="47" t="str">
        <f t="shared" si="6"/>
        <v/>
      </c>
      <c r="Y39" s="47" t="str">
        <f t="shared" si="7"/>
        <v/>
      </c>
      <c r="Z39" s="47">
        <f t="shared" si="16"/>
        <v>360</v>
      </c>
      <c r="AA39" s="47" t="str">
        <f t="shared" si="9"/>
        <v/>
      </c>
      <c r="AB39" s="47" t="str">
        <f t="shared" si="10"/>
        <v/>
      </c>
      <c r="AC39" s="47" t="str">
        <f t="shared" si="11"/>
        <v/>
      </c>
      <c r="AD39" s="47" t="str">
        <f t="shared" si="12"/>
        <v/>
      </c>
      <c r="AE39" s="47" t="str">
        <f t="shared" si="13"/>
        <v/>
      </c>
      <c r="AF39" s="47" t="str">
        <f t="shared" si="14"/>
        <v/>
      </c>
      <c r="AG39" s="47" t="str">
        <f t="shared" si="15"/>
        <v/>
      </c>
    </row>
    <row r="40" spans="1:33" x14ac:dyDescent="0.25">
      <c r="A40" s="36">
        <v>3</v>
      </c>
      <c r="B40" s="37" t="s">
        <v>104</v>
      </c>
      <c r="C40" s="38">
        <v>8188050574</v>
      </c>
      <c r="D40" s="37"/>
      <c r="E40" s="37"/>
      <c r="F40" s="40"/>
      <c r="G40" s="51">
        <v>45663</v>
      </c>
      <c r="H40" s="40"/>
      <c r="I40" s="40"/>
      <c r="J40" s="42">
        <v>281</v>
      </c>
      <c r="K40" s="43" t="s">
        <v>46</v>
      </c>
      <c r="L40" s="43" t="s">
        <v>105</v>
      </c>
      <c r="M40" s="44">
        <v>5</v>
      </c>
      <c r="N40" s="45">
        <v>1</v>
      </c>
      <c r="O40" s="45">
        <v>1405</v>
      </c>
      <c r="P40" s="45">
        <f t="shared" si="0"/>
        <v>1405</v>
      </c>
      <c r="Q40" s="46"/>
      <c r="R40" s="46"/>
      <c r="S40" s="47" t="str">
        <f t="shared" si="1"/>
        <v/>
      </c>
      <c r="T40" s="47" t="str">
        <f t="shared" si="2"/>
        <v/>
      </c>
      <c r="U40" s="47">
        <f t="shared" si="3"/>
        <v>1405</v>
      </c>
      <c r="V40" s="47" t="str">
        <f t="shared" si="4"/>
        <v/>
      </c>
      <c r="W40" s="47" t="str">
        <f t="shared" si="5"/>
        <v/>
      </c>
      <c r="X40" s="47" t="str">
        <f t="shared" si="6"/>
        <v/>
      </c>
      <c r="Y40" s="47" t="str">
        <f t="shared" si="7"/>
        <v/>
      </c>
      <c r="Z40" s="47">
        <f t="shared" si="16"/>
        <v>1405</v>
      </c>
      <c r="AA40" s="47" t="str">
        <f t="shared" si="9"/>
        <v/>
      </c>
      <c r="AB40" s="47" t="str">
        <f t="shared" si="10"/>
        <v/>
      </c>
      <c r="AC40" s="47" t="str">
        <f t="shared" si="11"/>
        <v/>
      </c>
      <c r="AD40" s="47" t="str">
        <f t="shared" si="12"/>
        <v/>
      </c>
      <c r="AE40" s="47" t="str">
        <f t="shared" si="13"/>
        <v/>
      </c>
      <c r="AF40" s="47" t="str">
        <f t="shared" si="14"/>
        <v/>
      </c>
      <c r="AG40" s="47" t="str">
        <f t="shared" si="15"/>
        <v/>
      </c>
    </row>
    <row r="41" spans="1:33" x14ac:dyDescent="0.25">
      <c r="A41" s="36">
        <v>3</v>
      </c>
      <c r="B41" s="37" t="s">
        <v>104</v>
      </c>
      <c r="C41" s="37"/>
      <c r="D41" s="37"/>
      <c r="E41" s="37"/>
      <c r="F41" s="40"/>
      <c r="G41" s="49"/>
      <c r="H41" s="40"/>
      <c r="I41" s="40"/>
      <c r="J41" s="42">
        <v>97</v>
      </c>
      <c r="K41" s="43" t="s">
        <v>56</v>
      </c>
      <c r="L41" s="43" t="s">
        <v>106</v>
      </c>
      <c r="M41" s="44">
        <v>8.5</v>
      </c>
      <c r="N41" s="45">
        <v>1</v>
      </c>
      <c r="O41" s="45">
        <v>824.5</v>
      </c>
      <c r="P41" s="45">
        <f t="shared" si="0"/>
        <v>824.5</v>
      </c>
      <c r="Q41" s="46"/>
      <c r="R41" s="46"/>
      <c r="S41" s="47" t="str">
        <f t="shared" si="1"/>
        <v/>
      </c>
      <c r="T41" s="47" t="str">
        <f t="shared" si="2"/>
        <v/>
      </c>
      <c r="U41" s="47">
        <f t="shared" si="3"/>
        <v>824.5</v>
      </c>
      <c r="V41" s="47" t="str">
        <f t="shared" si="4"/>
        <v/>
      </c>
      <c r="W41" s="47" t="str">
        <f t="shared" si="5"/>
        <v/>
      </c>
      <c r="X41" s="47" t="str">
        <f t="shared" si="6"/>
        <v/>
      </c>
      <c r="Y41" s="47" t="str">
        <f t="shared" si="7"/>
        <v/>
      </c>
      <c r="Z41" s="47">
        <f t="shared" si="16"/>
        <v>824.5</v>
      </c>
      <c r="AA41" s="47" t="str">
        <f t="shared" si="9"/>
        <v/>
      </c>
      <c r="AB41" s="47" t="str">
        <f t="shared" si="10"/>
        <v/>
      </c>
      <c r="AC41" s="47" t="str">
        <f t="shared" si="11"/>
        <v/>
      </c>
      <c r="AD41" s="47" t="str">
        <f t="shared" si="12"/>
        <v/>
      </c>
      <c r="AE41" s="47" t="str">
        <f t="shared" si="13"/>
        <v/>
      </c>
      <c r="AF41" s="47" t="str">
        <f t="shared" si="14"/>
        <v/>
      </c>
      <c r="AG41" s="47" t="str">
        <f t="shared" si="15"/>
        <v/>
      </c>
    </row>
    <row r="42" spans="1:33" x14ac:dyDescent="0.25">
      <c r="A42" s="36">
        <v>3</v>
      </c>
      <c r="B42" s="37" t="s">
        <v>104</v>
      </c>
      <c r="C42" s="37"/>
      <c r="D42" s="37"/>
      <c r="E42" s="37"/>
      <c r="F42" s="40"/>
      <c r="G42" s="49"/>
      <c r="H42" s="40"/>
      <c r="I42" s="40"/>
      <c r="J42" s="42">
        <v>19</v>
      </c>
      <c r="K42" s="43" t="s">
        <v>60</v>
      </c>
      <c r="L42" s="43" t="s">
        <v>77</v>
      </c>
      <c r="M42" s="44">
        <v>32</v>
      </c>
      <c r="N42" s="45">
        <v>1</v>
      </c>
      <c r="O42" s="45">
        <v>608</v>
      </c>
      <c r="P42" s="45">
        <f t="shared" si="0"/>
        <v>608</v>
      </c>
      <c r="Q42" s="46"/>
      <c r="R42" s="46"/>
      <c r="S42" s="47" t="str">
        <f t="shared" si="1"/>
        <v/>
      </c>
      <c r="T42" s="47" t="str">
        <f t="shared" si="2"/>
        <v/>
      </c>
      <c r="U42" s="47">
        <f t="shared" si="3"/>
        <v>608</v>
      </c>
      <c r="V42" s="47" t="str">
        <f t="shared" si="4"/>
        <v/>
      </c>
      <c r="W42" s="47" t="str">
        <f t="shared" si="5"/>
        <v/>
      </c>
      <c r="X42" s="47" t="str">
        <f t="shared" si="6"/>
        <v/>
      </c>
      <c r="Y42" s="47" t="str">
        <f t="shared" si="7"/>
        <v/>
      </c>
      <c r="Z42" s="47">
        <f t="shared" si="16"/>
        <v>608</v>
      </c>
      <c r="AA42" s="47" t="str">
        <f t="shared" si="9"/>
        <v/>
      </c>
      <c r="AB42" s="47" t="str">
        <f t="shared" si="10"/>
        <v/>
      </c>
      <c r="AC42" s="47" t="str">
        <f t="shared" si="11"/>
        <v/>
      </c>
      <c r="AD42" s="47" t="str">
        <f t="shared" si="12"/>
        <v/>
      </c>
      <c r="AE42" s="47" t="str">
        <f t="shared" si="13"/>
        <v/>
      </c>
      <c r="AF42" s="47" t="str">
        <f t="shared" si="14"/>
        <v/>
      </c>
      <c r="AG42" s="47" t="str">
        <f t="shared" si="15"/>
        <v/>
      </c>
    </row>
    <row r="43" spans="1:33" x14ac:dyDescent="0.25">
      <c r="A43" s="36">
        <v>3</v>
      </c>
      <c r="B43" s="37" t="s">
        <v>104</v>
      </c>
      <c r="C43" s="37"/>
      <c r="D43" s="37"/>
      <c r="E43" s="37"/>
      <c r="F43" s="40"/>
      <c r="G43" s="49"/>
      <c r="H43" s="40"/>
      <c r="I43" s="40"/>
      <c r="J43" s="42">
        <v>8</v>
      </c>
      <c r="K43" s="43" t="s">
        <v>82</v>
      </c>
      <c r="L43" s="43" t="s">
        <v>77</v>
      </c>
      <c r="M43" s="44">
        <v>26</v>
      </c>
      <c r="N43" s="45">
        <v>1</v>
      </c>
      <c r="O43" s="45">
        <v>208</v>
      </c>
      <c r="P43" s="45">
        <f t="shared" si="0"/>
        <v>208</v>
      </c>
      <c r="Q43" s="46"/>
      <c r="R43" s="46"/>
      <c r="S43" s="47" t="str">
        <f t="shared" si="1"/>
        <v/>
      </c>
      <c r="T43" s="47" t="str">
        <f t="shared" si="2"/>
        <v/>
      </c>
      <c r="U43" s="47">
        <f t="shared" si="3"/>
        <v>208</v>
      </c>
      <c r="V43" s="47" t="str">
        <f t="shared" si="4"/>
        <v/>
      </c>
      <c r="W43" s="47" t="str">
        <f t="shared" si="5"/>
        <v/>
      </c>
      <c r="X43" s="47" t="str">
        <f t="shared" si="6"/>
        <v/>
      </c>
      <c r="Y43" s="47" t="str">
        <f t="shared" si="7"/>
        <v/>
      </c>
      <c r="Z43" s="47">
        <f t="shared" si="16"/>
        <v>208</v>
      </c>
      <c r="AA43" s="47" t="str">
        <f t="shared" si="9"/>
        <v/>
      </c>
      <c r="AB43" s="47" t="str">
        <f t="shared" si="10"/>
        <v/>
      </c>
      <c r="AC43" s="47" t="str">
        <f t="shared" si="11"/>
        <v/>
      </c>
      <c r="AD43" s="47" t="str">
        <f t="shared" si="12"/>
        <v/>
      </c>
      <c r="AE43" s="47" t="str">
        <f t="shared" si="13"/>
        <v/>
      </c>
      <c r="AF43" s="47" t="str">
        <f t="shared" si="14"/>
        <v/>
      </c>
      <c r="AG43" s="47" t="str">
        <f t="shared" si="15"/>
        <v/>
      </c>
    </row>
    <row r="44" spans="1:33" x14ac:dyDescent="0.25">
      <c r="A44" s="36">
        <v>3</v>
      </c>
      <c r="B44" s="37" t="s">
        <v>104</v>
      </c>
      <c r="C44" s="37"/>
      <c r="D44" s="37"/>
      <c r="E44" s="37"/>
      <c r="F44" s="40"/>
      <c r="G44" s="49"/>
      <c r="H44" s="40"/>
      <c r="I44" s="40"/>
      <c r="J44" s="42">
        <v>77</v>
      </c>
      <c r="K44" s="43" t="s">
        <v>107</v>
      </c>
      <c r="L44" s="43" t="s">
        <v>108</v>
      </c>
      <c r="M44" s="44">
        <v>21.5</v>
      </c>
      <c r="N44" s="45">
        <v>1</v>
      </c>
      <c r="O44" s="45">
        <v>1655.5</v>
      </c>
      <c r="P44" s="45">
        <f t="shared" si="0"/>
        <v>1655.5</v>
      </c>
      <c r="Q44" s="46"/>
      <c r="R44" s="46"/>
      <c r="S44" s="47" t="str">
        <f t="shared" si="1"/>
        <v/>
      </c>
      <c r="T44" s="47" t="str">
        <f t="shared" si="2"/>
        <v/>
      </c>
      <c r="U44" s="47">
        <f t="shared" si="3"/>
        <v>1655.5</v>
      </c>
      <c r="V44" s="47" t="str">
        <f t="shared" si="4"/>
        <v/>
      </c>
      <c r="W44" s="47" t="str">
        <f t="shared" si="5"/>
        <v/>
      </c>
      <c r="X44" s="47" t="str">
        <f t="shared" si="6"/>
        <v/>
      </c>
      <c r="Y44" s="47" t="str">
        <f t="shared" si="7"/>
        <v/>
      </c>
      <c r="Z44" s="47">
        <f t="shared" si="16"/>
        <v>1655.5</v>
      </c>
      <c r="AA44" s="47" t="str">
        <f t="shared" si="9"/>
        <v/>
      </c>
      <c r="AB44" s="47" t="str">
        <f t="shared" si="10"/>
        <v/>
      </c>
      <c r="AC44" s="47" t="str">
        <f t="shared" si="11"/>
        <v/>
      </c>
      <c r="AD44" s="47" t="str">
        <f t="shared" si="12"/>
        <v/>
      </c>
      <c r="AE44" s="47" t="str">
        <f t="shared" si="13"/>
        <v/>
      </c>
      <c r="AF44" s="47" t="str">
        <f t="shared" si="14"/>
        <v/>
      </c>
      <c r="AG44" s="47" t="str">
        <f t="shared" si="15"/>
        <v/>
      </c>
    </row>
    <row r="45" spans="1:33" x14ac:dyDescent="0.25">
      <c r="A45" s="36">
        <v>3</v>
      </c>
      <c r="B45" s="37" t="s">
        <v>104</v>
      </c>
      <c r="C45" s="37"/>
      <c r="D45" s="37"/>
      <c r="E45" s="37"/>
      <c r="F45" s="40"/>
      <c r="G45" s="49"/>
      <c r="H45" s="40"/>
      <c r="I45" s="40"/>
      <c r="J45" s="42">
        <v>27</v>
      </c>
      <c r="K45" s="43" t="s">
        <v>107</v>
      </c>
      <c r="L45" s="43" t="s">
        <v>109</v>
      </c>
      <c r="M45" s="44">
        <v>16.5</v>
      </c>
      <c r="N45" s="45">
        <v>1</v>
      </c>
      <c r="O45" s="45">
        <v>445.5</v>
      </c>
      <c r="P45" s="45">
        <f t="shared" si="0"/>
        <v>445.5</v>
      </c>
      <c r="Q45" s="46"/>
      <c r="R45" s="46"/>
      <c r="S45" s="47" t="str">
        <f t="shared" si="1"/>
        <v/>
      </c>
      <c r="T45" s="47" t="str">
        <f t="shared" si="2"/>
        <v/>
      </c>
      <c r="U45" s="47">
        <f t="shared" si="3"/>
        <v>445.5</v>
      </c>
      <c r="V45" s="47" t="str">
        <f t="shared" si="4"/>
        <v/>
      </c>
      <c r="W45" s="47" t="str">
        <f t="shared" si="5"/>
        <v/>
      </c>
      <c r="X45" s="47" t="str">
        <f t="shared" si="6"/>
        <v/>
      </c>
      <c r="Y45" s="47" t="str">
        <f t="shared" si="7"/>
        <v/>
      </c>
      <c r="Z45" s="47">
        <f t="shared" si="16"/>
        <v>445.5</v>
      </c>
      <c r="AA45" s="47" t="str">
        <f t="shared" si="9"/>
        <v/>
      </c>
      <c r="AB45" s="47" t="str">
        <f t="shared" si="10"/>
        <v/>
      </c>
      <c r="AC45" s="47" t="str">
        <f t="shared" si="11"/>
        <v/>
      </c>
      <c r="AD45" s="47" t="str">
        <f t="shared" si="12"/>
        <v/>
      </c>
      <c r="AE45" s="47" t="str">
        <f t="shared" si="13"/>
        <v/>
      </c>
      <c r="AF45" s="47" t="str">
        <f t="shared" si="14"/>
        <v/>
      </c>
      <c r="AG45" s="47" t="str">
        <f t="shared" si="15"/>
        <v/>
      </c>
    </row>
    <row r="46" spans="1:33" x14ac:dyDescent="0.25">
      <c r="A46" s="36">
        <v>3</v>
      </c>
      <c r="B46" s="37" t="s">
        <v>104</v>
      </c>
      <c r="C46" s="37"/>
      <c r="D46" s="39"/>
      <c r="E46" s="37"/>
      <c r="F46" s="40"/>
      <c r="G46" s="49"/>
      <c r="H46" s="40"/>
      <c r="I46" s="40"/>
      <c r="J46" s="42">
        <v>5</v>
      </c>
      <c r="K46" s="43" t="s">
        <v>107</v>
      </c>
      <c r="L46" s="43" t="s">
        <v>109</v>
      </c>
      <c r="M46" s="44">
        <v>10</v>
      </c>
      <c r="N46" s="45">
        <v>1</v>
      </c>
      <c r="O46" s="45">
        <v>50</v>
      </c>
      <c r="P46" s="45">
        <f t="shared" si="0"/>
        <v>50</v>
      </c>
      <c r="Q46" s="46"/>
      <c r="R46" s="46"/>
      <c r="S46" s="47" t="str">
        <f t="shared" si="1"/>
        <v/>
      </c>
      <c r="T46" s="47" t="str">
        <f t="shared" si="2"/>
        <v/>
      </c>
      <c r="U46" s="47">
        <f t="shared" si="3"/>
        <v>50</v>
      </c>
      <c r="V46" s="47" t="str">
        <f t="shared" si="4"/>
        <v/>
      </c>
      <c r="W46" s="47" t="str">
        <f t="shared" si="5"/>
        <v/>
      </c>
      <c r="X46" s="47" t="str">
        <f t="shared" si="6"/>
        <v/>
      </c>
      <c r="Y46" s="47" t="str">
        <f t="shared" si="7"/>
        <v/>
      </c>
      <c r="Z46" s="47">
        <f t="shared" si="16"/>
        <v>50</v>
      </c>
      <c r="AA46" s="47" t="str">
        <f t="shared" si="9"/>
        <v/>
      </c>
      <c r="AB46" s="47" t="str">
        <f t="shared" si="10"/>
        <v/>
      </c>
      <c r="AC46" s="47" t="str">
        <f t="shared" si="11"/>
        <v/>
      </c>
      <c r="AD46" s="47" t="str">
        <f t="shared" si="12"/>
        <v/>
      </c>
      <c r="AE46" s="47" t="str">
        <f t="shared" si="13"/>
        <v/>
      </c>
      <c r="AF46" s="47" t="str">
        <f t="shared" si="14"/>
        <v/>
      </c>
      <c r="AG46" s="47" t="str">
        <f t="shared" si="15"/>
        <v/>
      </c>
    </row>
    <row r="47" spans="1:33" x14ac:dyDescent="0.25">
      <c r="A47" s="36">
        <v>3</v>
      </c>
      <c r="B47" s="37" t="s">
        <v>104</v>
      </c>
      <c r="C47" s="37"/>
      <c r="D47" s="39"/>
      <c r="E47" s="37"/>
      <c r="F47" s="40"/>
      <c r="G47" s="49"/>
      <c r="H47" s="40"/>
      <c r="I47" s="40"/>
      <c r="J47" s="42">
        <v>2</v>
      </c>
      <c r="K47" s="43" t="s">
        <v>107</v>
      </c>
      <c r="L47" s="43" t="s">
        <v>110</v>
      </c>
      <c r="M47" s="44">
        <v>10.5</v>
      </c>
      <c r="N47" s="45">
        <v>1</v>
      </c>
      <c r="O47" s="45">
        <v>21</v>
      </c>
      <c r="P47" s="45">
        <f t="shared" si="0"/>
        <v>21</v>
      </c>
      <c r="Q47" s="46"/>
      <c r="R47" s="46"/>
      <c r="S47" s="47" t="str">
        <f t="shared" si="1"/>
        <v/>
      </c>
      <c r="T47" s="47" t="str">
        <f t="shared" si="2"/>
        <v/>
      </c>
      <c r="U47" s="47">
        <f t="shared" si="3"/>
        <v>21</v>
      </c>
      <c r="V47" s="47" t="str">
        <f t="shared" si="4"/>
        <v/>
      </c>
      <c r="W47" s="47" t="str">
        <f t="shared" si="5"/>
        <v/>
      </c>
      <c r="X47" s="47" t="str">
        <f t="shared" si="6"/>
        <v/>
      </c>
      <c r="Y47" s="47" t="str">
        <f t="shared" si="7"/>
        <v/>
      </c>
      <c r="Z47" s="47">
        <f t="shared" si="16"/>
        <v>21</v>
      </c>
      <c r="AA47" s="47" t="str">
        <f t="shared" si="9"/>
        <v/>
      </c>
      <c r="AB47" s="47" t="str">
        <f t="shared" si="10"/>
        <v/>
      </c>
      <c r="AC47" s="47" t="str">
        <f t="shared" si="11"/>
        <v/>
      </c>
      <c r="AD47" s="47" t="str">
        <f t="shared" si="12"/>
        <v/>
      </c>
      <c r="AE47" s="47" t="str">
        <f t="shared" si="13"/>
        <v/>
      </c>
      <c r="AF47" s="47" t="str">
        <f t="shared" si="14"/>
        <v/>
      </c>
      <c r="AG47" s="47" t="str">
        <f t="shared" si="15"/>
        <v/>
      </c>
    </row>
    <row r="48" spans="1:33" x14ac:dyDescent="0.25">
      <c r="A48" s="36">
        <v>3</v>
      </c>
      <c r="B48" s="37" t="s">
        <v>104</v>
      </c>
      <c r="C48" s="37"/>
      <c r="D48" s="37"/>
      <c r="E48" s="37"/>
      <c r="F48" s="40"/>
      <c r="G48" s="49"/>
      <c r="H48" s="40"/>
      <c r="I48" s="40"/>
      <c r="J48" s="42">
        <v>2</v>
      </c>
      <c r="K48" s="43" t="s">
        <v>107</v>
      </c>
      <c r="L48" s="43" t="s">
        <v>111</v>
      </c>
      <c r="M48" s="44">
        <v>30.5</v>
      </c>
      <c r="N48" s="45">
        <v>1</v>
      </c>
      <c r="O48" s="45">
        <v>61</v>
      </c>
      <c r="P48" s="45">
        <f t="shared" si="0"/>
        <v>61</v>
      </c>
      <c r="Q48" s="46"/>
      <c r="R48" s="46"/>
      <c r="S48" s="47" t="str">
        <f t="shared" si="1"/>
        <v/>
      </c>
      <c r="T48" s="47" t="str">
        <f t="shared" si="2"/>
        <v/>
      </c>
      <c r="U48" s="47">
        <f t="shared" si="3"/>
        <v>61</v>
      </c>
      <c r="V48" s="47" t="str">
        <f t="shared" si="4"/>
        <v/>
      </c>
      <c r="W48" s="47" t="str">
        <f t="shared" si="5"/>
        <v/>
      </c>
      <c r="X48" s="47" t="str">
        <f t="shared" si="6"/>
        <v/>
      </c>
      <c r="Y48" s="47" t="str">
        <f t="shared" si="7"/>
        <v/>
      </c>
      <c r="Z48" s="47">
        <f t="shared" si="16"/>
        <v>61</v>
      </c>
      <c r="AA48" s="47" t="str">
        <f t="shared" si="9"/>
        <v/>
      </c>
      <c r="AB48" s="47" t="str">
        <f t="shared" si="10"/>
        <v/>
      </c>
      <c r="AC48" s="47" t="str">
        <f t="shared" si="11"/>
        <v/>
      </c>
      <c r="AD48" s="47" t="str">
        <f t="shared" si="12"/>
        <v/>
      </c>
      <c r="AE48" s="47" t="str">
        <f t="shared" si="13"/>
        <v/>
      </c>
      <c r="AF48" s="47" t="str">
        <f t="shared" si="14"/>
        <v/>
      </c>
      <c r="AG48" s="47" t="str">
        <f t="shared" si="15"/>
        <v/>
      </c>
    </row>
    <row r="49" spans="1:33" x14ac:dyDescent="0.25">
      <c r="A49" s="36">
        <v>3</v>
      </c>
      <c r="B49" s="37" t="s">
        <v>104</v>
      </c>
      <c r="C49" s="37"/>
      <c r="D49" s="37"/>
      <c r="E49" s="37"/>
      <c r="F49" s="40"/>
      <c r="G49" s="49"/>
      <c r="H49" s="40"/>
      <c r="I49" s="40"/>
      <c r="J49" s="42">
        <v>113</v>
      </c>
      <c r="K49" s="43" t="s">
        <v>107</v>
      </c>
      <c r="L49" s="43" t="s">
        <v>112</v>
      </c>
      <c r="M49" s="44">
        <v>18.5</v>
      </c>
      <c r="N49" s="45">
        <v>1</v>
      </c>
      <c r="O49" s="45">
        <v>2090.5</v>
      </c>
      <c r="P49" s="45">
        <f t="shared" si="0"/>
        <v>2090.5</v>
      </c>
      <c r="Q49" s="46"/>
      <c r="R49" s="46"/>
      <c r="S49" s="47" t="str">
        <f t="shared" si="1"/>
        <v/>
      </c>
      <c r="T49" s="47" t="str">
        <f t="shared" si="2"/>
        <v/>
      </c>
      <c r="U49" s="47">
        <f t="shared" si="3"/>
        <v>2090.5</v>
      </c>
      <c r="V49" s="47" t="str">
        <f t="shared" si="4"/>
        <v/>
      </c>
      <c r="W49" s="47" t="str">
        <f t="shared" si="5"/>
        <v/>
      </c>
      <c r="X49" s="47" t="str">
        <f t="shared" si="6"/>
        <v/>
      </c>
      <c r="Y49" s="47" t="str">
        <f t="shared" si="7"/>
        <v/>
      </c>
      <c r="Z49" s="47">
        <f t="shared" si="16"/>
        <v>2090.5</v>
      </c>
      <c r="AA49" s="47" t="str">
        <f t="shared" si="9"/>
        <v/>
      </c>
      <c r="AB49" s="47" t="str">
        <f t="shared" si="10"/>
        <v/>
      </c>
      <c r="AC49" s="47" t="str">
        <f t="shared" si="11"/>
        <v/>
      </c>
      <c r="AD49" s="47" t="str">
        <f t="shared" si="12"/>
        <v/>
      </c>
      <c r="AE49" s="47" t="str">
        <f t="shared" si="13"/>
        <v/>
      </c>
      <c r="AF49" s="47" t="str">
        <f t="shared" si="14"/>
        <v/>
      </c>
      <c r="AG49" s="47" t="str">
        <f t="shared" si="15"/>
        <v/>
      </c>
    </row>
    <row r="50" spans="1:33" x14ac:dyDescent="0.25">
      <c r="A50" s="36">
        <v>3</v>
      </c>
      <c r="B50" s="37" t="s">
        <v>104</v>
      </c>
      <c r="C50" s="37"/>
      <c r="D50" s="37"/>
      <c r="E50" s="37"/>
      <c r="F50" s="40"/>
      <c r="G50" s="49"/>
      <c r="H50" s="40"/>
      <c r="I50" s="40"/>
      <c r="J50" s="42">
        <v>2</v>
      </c>
      <c r="K50" s="43" t="s">
        <v>107</v>
      </c>
      <c r="L50" s="43" t="s">
        <v>112</v>
      </c>
      <c r="M50" s="44">
        <v>27.5</v>
      </c>
      <c r="N50" s="45">
        <v>1</v>
      </c>
      <c r="O50" s="45">
        <v>55</v>
      </c>
      <c r="P50" s="45">
        <f t="shared" si="0"/>
        <v>55</v>
      </c>
      <c r="Q50" s="46"/>
      <c r="R50" s="46"/>
      <c r="S50" s="47" t="str">
        <f t="shared" si="1"/>
        <v/>
      </c>
      <c r="T50" s="47" t="str">
        <f t="shared" si="2"/>
        <v/>
      </c>
      <c r="U50" s="47">
        <f t="shared" si="3"/>
        <v>55</v>
      </c>
      <c r="V50" s="47" t="str">
        <f t="shared" si="4"/>
        <v/>
      </c>
      <c r="W50" s="47" t="str">
        <f t="shared" si="5"/>
        <v/>
      </c>
      <c r="X50" s="47" t="str">
        <f t="shared" si="6"/>
        <v/>
      </c>
      <c r="Y50" s="47" t="str">
        <f t="shared" si="7"/>
        <v/>
      </c>
      <c r="Z50" s="47">
        <f t="shared" si="16"/>
        <v>55</v>
      </c>
      <c r="AA50" s="47" t="str">
        <f t="shared" si="9"/>
        <v/>
      </c>
      <c r="AB50" s="47" t="str">
        <f t="shared" si="10"/>
        <v/>
      </c>
      <c r="AC50" s="47" t="str">
        <f t="shared" si="11"/>
        <v/>
      </c>
      <c r="AD50" s="47" t="str">
        <f t="shared" si="12"/>
        <v/>
      </c>
      <c r="AE50" s="47" t="str">
        <f t="shared" si="13"/>
        <v/>
      </c>
      <c r="AF50" s="47" t="str">
        <f t="shared" si="14"/>
        <v/>
      </c>
      <c r="AG50" s="47" t="str">
        <f t="shared" si="15"/>
        <v/>
      </c>
    </row>
    <row r="51" spans="1:33" x14ac:dyDescent="0.25">
      <c r="A51" s="36">
        <v>3</v>
      </c>
      <c r="B51" s="37" t="s">
        <v>104</v>
      </c>
      <c r="C51" s="37"/>
      <c r="D51" s="37"/>
      <c r="E51" s="37"/>
      <c r="F51" s="40"/>
      <c r="G51" s="49"/>
      <c r="H51" s="40"/>
      <c r="I51" s="40"/>
      <c r="J51" s="42">
        <v>4</v>
      </c>
      <c r="K51" s="43" t="s">
        <v>107</v>
      </c>
      <c r="L51" s="43" t="s">
        <v>113</v>
      </c>
      <c r="M51" s="44">
        <v>11</v>
      </c>
      <c r="N51" s="45">
        <v>1</v>
      </c>
      <c r="O51" s="45">
        <v>44</v>
      </c>
      <c r="P51" s="45">
        <f t="shared" si="0"/>
        <v>44</v>
      </c>
      <c r="Q51" s="46"/>
      <c r="R51" s="46"/>
      <c r="S51" s="47" t="str">
        <f t="shared" si="1"/>
        <v/>
      </c>
      <c r="T51" s="47" t="str">
        <f t="shared" si="2"/>
        <v/>
      </c>
      <c r="U51" s="47">
        <f t="shared" si="3"/>
        <v>44</v>
      </c>
      <c r="V51" s="47" t="str">
        <f t="shared" si="4"/>
        <v/>
      </c>
      <c r="W51" s="47" t="str">
        <f t="shared" si="5"/>
        <v/>
      </c>
      <c r="X51" s="47" t="str">
        <f t="shared" si="6"/>
        <v/>
      </c>
      <c r="Y51" s="47" t="str">
        <f t="shared" si="7"/>
        <v/>
      </c>
      <c r="Z51" s="47">
        <f t="shared" si="16"/>
        <v>44</v>
      </c>
      <c r="AA51" s="47" t="str">
        <f t="shared" si="9"/>
        <v/>
      </c>
      <c r="AB51" s="47" t="str">
        <f t="shared" si="10"/>
        <v/>
      </c>
      <c r="AC51" s="47" t="str">
        <f t="shared" si="11"/>
        <v/>
      </c>
      <c r="AD51" s="47" t="str">
        <f t="shared" si="12"/>
        <v/>
      </c>
      <c r="AE51" s="47" t="str">
        <f t="shared" si="13"/>
        <v/>
      </c>
      <c r="AF51" s="47" t="str">
        <f t="shared" si="14"/>
        <v/>
      </c>
      <c r="AG51" s="47" t="str">
        <f t="shared" si="15"/>
        <v/>
      </c>
    </row>
    <row r="52" spans="1:33" x14ac:dyDescent="0.25">
      <c r="A52" s="36">
        <v>3</v>
      </c>
      <c r="B52" s="37" t="s">
        <v>104</v>
      </c>
      <c r="C52" s="37"/>
      <c r="D52" s="37"/>
      <c r="E52" s="37"/>
      <c r="F52" s="40"/>
      <c r="G52" s="49"/>
      <c r="H52" s="40"/>
      <c r="I52" s="40"/>
      <c r="J52" s="42">
        <v>3</v>
      </c>
      <c r="K52" s="43" t="s">
        <v>107</v>
      </c>
      <c r="L52" s="43" t="s">
        <v>114</v>
      </c>
      <c r="M52" s="44">
        <v>10.5</v>
      </c>
      <c r="N52" s="45">
        <v>1</v>
      </c>
      <c r="O52" s="45">
        <v>31.5</v>
      </c>
      <c r="P52" s="45">
        <f t="shared" si="0"/>
        <v>31.5</v>
      </c>
      <c r="Q52" s="46"/>
      <c r="R52" s="46"/>
      <c r="S52" s="47" t="str">
        <f t="shared" si="1"/>
        <v/>
      </c>
      <c r="T52" s="47" t="str">
        <f t="shared" si="2"/>
        <v/>
      </c>
      <c r="U52" s="47">
        <f t="shared" si="3"/>
        <v>31.5</v>
      </c>
      <c r="V52" s="47" t="str">
        <f t="shared" si="4"/>
        <v/>
      </c>
      <c r="W52" s="47" t="str">
        <f t="shared" si="5"/>
        <v/>
      </c>
      <c r="X52" s="47" t="str">
        <f t="shared" si="6"/>
        <v/>
      </c>
      <c r="Y52" s="47" t="str">
        <f t="shared" si="7"/>
        <v/>
      </c>
      <c r="Z52" s="47">
        <f t="shared" si="16"/>
        <v>31.5</v>
      </c>
      <c r="AA52" s="47" t="str">
        <f t="shared" si="9"/>
        <v/>
      </c>
      <c r="AB52" s="47" t="str">
        <f t="shared" si="10"/>
        <v/>
      </c>
      <c r="AC52" s="47" t="str">
        <f t="shared" si="11"/>
        <v/>
      </c>
      <c r="AD52" s="47" t="str">
        <f t="shared" si="12"/>
        <v/>
      </c>
      <c r="AE52" s="47" t="str">
        <f t="shared" si="13"/>
        <v/>
      </c>
      <c r="AF52" s="47" t="str">
        <f t="shared" si="14"/>
        <v/>
      </c>
      <c r="AG52" s="47" t="str">
        <f t="shared" si="15"/>
        <v/>
      </c>
    </row>
    <row r="53" spans="1:33" x14ac:dyDescent="0.25">
      <c r="A53" s="36">
        <v>3</v>
      </c>
      <c r="B53" s="37" t="s">
        <v>104</v>
      </c>
      <c r="C53" s="37"/>
      <c r="D53" s="37"/>
      <c r="E53" s="37"/>
      <c r="F53" s="40"/>
      <c r="G53" s="49"/>
      <c r="H53" s="40"/>
      <c r="I53" s="40"/>
      <c r="J53" s="42">
        <v>36</v>
      </c>
      <c r="K53" s="43" t="s">
        <v>82</v>
      </c>
      <c r="L53" s="43" t="s">
        <v>115</v>
      </c>
      <c r="M53" s="44">
        <v>30</v>
      </c>
      <c r="N53" s="45">
        <v>1</v>
      </c>
      <c r="O53" s="45">
        <v>1080</v>
      </c>
      <c r="P53" s="45">
        <f t="shared" si="0"/>
        <v>1080</v>
      </c>
      <c r="Q53" s="46"/>
      <c r="R53" s="46"/>
      <c r="S53" s="47" t="str">
        <f t="shared" si="1"/>
        <v/>
      </c>
      <c r="T53" s="47" t="str">
        <f t="shared" si="2"/>
        <v/>
      </c>
      <c r="U53" s="47">
        <f t="shared" si="3"/>
        <v>1080</v>
      </c>
      <c r="V53" s="47" t="str">
        <f t="shared" si="4"/>
        <v/>
      </c>
      <c r="W53" s="47" t="str">
        <f t="shared" si="5"/>
        <v/>
      </c>
      <c r="X53" s="47" t="str">
        <f t="shared" si="6"/>
        <v/>
      </c>
      <c r="Y53" s="47" t="str">
        <f t="shared" si="7"/>
        <v/>
      </c>
      <c r="Z53" s="47">
        <f t="shared" si="16"/>
        <v>1080</v>
      </c>
      <c r="AA53" s="47" t="str">
        <f t="shared" si="9"/>
        <v/>
      </c>
      <c r="AB53" s="47" t="str">
        <f t="shared" si="10"/>
        <v/>
      </c>
      <c r="AC53" s="47" t="str">
        <f t="shared" si="11"/>
        <v/>
      </c>
      <c r="AD53" s="47" t="str">
        <f t="shared" si="12"/>
        <v/>
      </c>
      <c r="AE53" s="47" t="str">
        <f t="shared" si="13"/>
        <v/>
      </c>
      <c r="AF53" s="47" t="str">
        <f t="shared" si="14"/>
        <v/>
      </c>
      <c r="AG53" s="47" t="str">
        <f t="shared" si="15"/>
        <v/>
      </c>
    </row>
    <row r="54" spans="1:33" x14ac:dyDescent="0.25">
      <c r="A54" s="36">
        <v>3</v>
      </c>
      <c r="B54" s="37" t="s">
        <v>104</v>
      </c>
      <c r="C54" s="37"/>
      <c r="D54" s="37"/>
      <c r="E54" s="37"/>
      <c r="F54" s="40"/>
      <c r="G54" s="49"/>
      <c r="H54" s="40"/>
      <c r="I54" s="40"/>
      <c r="J54" s="42">
        <v>2</v>
      </c>
      <c r="K54" s="43" t="s">
        <v>116</v>
      </c>
      <c r="L54" s="43" t="s">
        <v>117</v>
      </c>
      <c r="M54" s="44">
        <v>6.3</v>
      </c>
      <c r="N54" s="45">
        <v>1</v>
      </c>
      <c r="O54" s="45">
        <v>12.6</v>
      </c>
      <c r="P54" s="45">
        <f t="shared" si="0"/>
        <v>12.6</v>
      </c>
      <c r="Q54" s="46"/>
      <c r="R54" s="46"/>
      <c r="S54" s="47" t="str">
        <f t="shared" si="1"/>
        <v/>
      </c>
      <c r="T54" s="47" t="str">
        <f t="shared" si="2"/>
        <v/>
      </c>
      <c r="U54" s="47">
        <f t="shared" si="3"/>
        <v>12.6</v>
      </c>
      <c r="V54" s="47" t="str">
        <f t="shared" si="4"/>
        <v/>
      </c>
      <c r="W54" s="47" t="str">
        <f t="shared" si="5"/>
        <v/>
      </c>
      <c r="X54" s="47" t="str">
        <f t="shared" si="6"/>
        <v/>
      </c>
      <c r="Y54" s="47" t="str">
        <f t="shared" si="7"/>
        <v/>
      </c>
      <c r="Z54" s="47">
        <f t="shared" si="16"/>
        <v>12.6</v>
      </c>
      <c r="AA54" s="47" t="str">
        <f t="shared" si="9"/>
        <v/>
      </c>
      <c r="AB54" s="47" t="str">
        <f t="shared" si="10"/>
        <v/>
      </c>
      <c r="AC54" s="47" t="str">
        <f t="shared" si="11"/>
        <v/>
      </c>
      <c r="AD54" s="47" t="str">
        <f t="shared" si="12"/>
        <v/>
      </c>
      <c r="AE54" s="47" t="str">
        <f t="shared" si="13"/>
        <v/>
      </c>
      <c r="AF54" s="47" t="str">
        <f t="shared" si="14"/>
        <v/>
      </c>
      <c r="AG54" s="47" t="str">
        <f t="shared" si="15"/>
        <v/>
      </c>
    </row>
    <row r="55" spans="1:33" x14ac:dyDescent="0.25">
      <c r="A55" s="36">
        <v>3</v>
      </c>
      <c r="B55" s="37" t="s">
        <v>104</v>
      </c>
      <c r="C55" s="37"/>
      <c r="D55" s="37"/>
      <c r="E55" s="37"/>
      <c r="F55" s="40"/>
      <c r="G55" s="49"/>
      <c r="H55" s="40"/>
      <c r="I55" s="40"/>
      <c r="J55" s="42">
        <v>6</v>
      </c>
      <c r="K55" s="43" t="s">
        <v>74</v>
      </c>
      <c r="L55" s="43" t="s">
        <v>118</v>
      </c>
      <c r="M55" s="44">
        <v>123</v>
      </c>
      <c r="N55" s="45">
        <v>1</v>
      </c>
      <c r="O55" s="45">
        <v>738</v>
      </c>
      <c r="P55" s="45">
        <f t="shared" si="0"/>
        <v>738</v>
      </c>
      <c r="Q55" s="46"/>
      <c r="R55" s="46"/>
      <c r="S55" s="47" t="str">
        <f t="shared" si="1"/>
        <v/>
      </c>
      <c r="T55" s="47" t="str">
        <f t="shared" si="2"/>
        <v/>
      </c>
      <c r="U55" s="47">
        <f t="shared" si="3"/>
        <v>738</v>
      </c>
      <c r="V55" s="47" t="str">
        <f t="shared" si="4"/>
        <v/>
      </c>
      <c r="W55" s="47" t="str">
        <f t="shared" si="5"/>
        <v/>
      </c>
      <c r="X55" s="47" t="str">
        <f t="shared" si="6"/>
        <v/>
      </c>
      <c r="Y55" s="47" t="str">
        <f t="shared" si="7"/>
        <v/>
      </c>
      <c r="Z55" s="47">
        <f t="shared" si="16"/>
        <v>738</v>
      </c>
      <c r="AA55" s="47" t="str">
        <f t="shared" si="9"/>
        <v/>
      </c>
      <c r="AB55" s="47" t="str">
        <f t="shared" si="10"/>
        <v/>
      </c>
      <c r="AC55" s="47" t="str">
        <f t="shared" si="11"/>
        <v/>
      </c>
      <c r="AD55" s="47" t="str">
        <f t="shared" si="12"/>
        <v/>
      </c>
      <c r="AE55" s="47" t="str">
        <f t="shared" si="13"/>
        <v/>
      </c>
      <c r="AF55" s="47" t="str">
        <f t="shared" si="14"/>
        <v/>
      </c>
      <c r="AG55" s="47" t="str">
        <f t="shared" si="15"/>
        <v/>
      </c>
    </row>
    <row r="56" spans="1:33" x14ac:dyDescent="0.25">
      <c r="A56" s="36">
        <v>3</v>
      </c>
      <c r="B56" s="37" t="s">
        <v>104</v>
      </c>
      <c r="C56" s="37"/>
      <c r="D56" s="37"/>
      <c r="E56" s="37"/>
      <c r="F56" s="40"/>
      <c r="G56" s="49"/>
      <c r="H56" s="40"/>
      <c r="I56" s="40"/>
      <c r="J56" s="42">
        <v>4</v>
      </c>
      <c r="K56" s="43" t="s">
        <v>116</v>
      </c>
      <c r="L56" s="43" t="s">
        <v>119</v>
      </c>
      <c r="M56" s="44">
        <v>34</v>
      </c>
      <c r="N56" s="45">
        <v>1</v>
      </c>
      <c r="O56" s="45">
        <v>136</v>
      </c>
      <c r="P56" s="45">
        <f t="shared" si="0"/>
        <v>136</v>
      </c>
      <c r="Q56" s="46"/>
      <c r="R56" s="46"/>
      <c r="S56" s="47" t="str">
        <f t="shared" si="1"/>
        <v/>
      </c>
      <c r="T56" s="47" t="str">
        <f t="shared" si="2"/>
        <v/>
      </c>
      <c r="U56" s="47">
        <f t="shared" si="3"/>
        <v>136</v>
      </c>
      <c r="V56" s="47" t="str">
        <f t="shared" si="4"/>
        <v/>
      </c>
      <c r="W56" s="47" t="str">
        <f t="shared" si="5"/>
        <v/>
      </c>
      <c r="X56" s="47" t="str">
        <f t="shared" si="6"/>
        <v/>
      </c>
      <c r="Y56" s="47" t="str">
        <f t="shared" si="7"/>
        <v/>
      </c>
      <c r="Z56" s="47">
        <f t="shared" si="16"/>
        <v>136</v>
      </c>
      <c r="AA56" s="47" t="str">
        <f t="shared" si="9"/>
        <v/>
      </c>
      <c r="AB56" s="47" t="str">
        <f t="shared" si="10"/>
        <v/>
      </c>
      <c r="AC56" s="47" t="str">
        <f t="shared" si="11"/>
        <v/>
      </c>
      <c r="AD56" s="47" t="str">
        <f t="shared" si="12"/>
        <v/>
      </c>
      <c r="AE56" s="47" t="str">
        <f t="shared" si="13"/>
        <v/>
      </c>
      <c r="AF56" s="47" t="str">
        <f t="shared" si="14"/>
        <v/>
      </c>
      <c r="AG56" s="47" t="str">
        <f t="shared" si="15"/>
        <v/>
      </c>
    </row>
    <row r="57" spans="1:33" x14ac:dyDescent="0.25">
      <c r="A57" s="36">
        <v>3</v>
      </c>
      <c r="B57" s="37" t="s">
        <v>104</v>
      </c>
      <c r="C57" s="37"/>
      <c r="D57" s="37"/>
      <c r="E57" s="37"/>
      <c r="F57" s="40"/>
      <c r="G57" s="49"/>
      <c r="H57" s="40"/>
      <c r="I57" s="40"/>
      <c r="J57" s="42">
        <v>3</v>
      </c>
      <c r="K57" s="43" t="s">
        <v>82</v>
      </c>
      <c r="L57" s="43" t="s">
        <v>120</v>
      </c>
      <c r="M57" s="44">
        <v>15</v>
      </c>
      <c r="N57" s="45">
        <v>1</v>
      </c>
      <c r="O57" s="45">
        <v>45</v>
      </c>
      <c r="P57" s="45">
        <f t="shared" si="0"/>
        <v>45</v>
      </c>
      <c r="Q57" s="46"/>
      <c r="R57" s="46"/>
      <c r="S57" s="47" t="str">
        <f t="shared" si="1"/>
        <v/>
      </c>
      <c r="T57" s="47" t="str">
        <f t="shared" si="2"/>
        <v/>
      </c>
      <c r="U57" s="47">
        <f t="shared" si="3"/>
        <v>45</v>
      </c>
      <c r="V57" s="47" t="str">
        <f t="shared" si="4"/>
        <v/>
      </c>
      <c r="W57" s="47" t="str">
        <f t="shared" si="5"/>
        <v/>
      </c>
      <c r="X57" s="47" t="str">
        <f t="shared" si="6"/>
        <v/>
      </c>
      <c r="Y57" s="47" t="str">
        <f t="shared" si="7"/>
        <v/>
      </c>
      <c r="Z57" s="47">
        <f t="shared" si="16"/>
        <v>45</v>
      </c>
      <c r="AA57" s="47" t="str">
        <f t="shared" si="9"/>
        <v/>
      </c>
      <c r="AB57" s="47" t="str">
        <f t="shared" si="10"/>
        <v/>
      </c>
      <c r="AC57" s="47" t="str">
        <f t="shared" si="11"/>
        <v/>
      </c>
      <c r="AD57" s="47" t="str">
        <f t="shared" si="12"/>
        <v/>
      </c>
      <c r="AE57" s="47" t="str">
        <f t="shared" si="13"/>
        <v/>
      </c>
      <c r="AF57" s="47" t="str">
        <f t="shared" si="14"/>
        <v/>
      </c>
      <c r="AG57" s="47" t="str">
        <f t="shared" si="15"/>
        <v/>
      </c>
    </row>
    <row r="58" spans="1:33" x14ac:dyDescent="0.25">
      <c r="A58" s="36">
        <v>3</v>
      </c>
      <c r="B58" s="37" t="s">
        <v>104</v>
      </c>
      <c r="C58" s="37"/>
      <c r="D58" s="37"/>
      <c r="E58" s="37"/>
      <c r="F58" s="40"/>
      <c r="G58" s="49"/>
      <c r="H58" s="40"/>
      <c r="I58" s="40"/>
      <c r="J58" s="42">
        <v>4</v>
      </c>
      <c r="K58" s="43" t="s">
        <v>60</v>
      </c>
      <c r="L58" s="43" t="s">
        <v>121</v>
      </c>
      <c r="M58" s="44">
        <v>22.5</v>
      </c>
      <c r="N58" s="45">
        <v>1</v>
      </c>
      <c r="O58" s="45">
        <v>90</v>
      </c>
      <c r="P58" s="45">
        <f t="shared" si="0"/>
        <v>90</v>
      </c>
      <c r="Q58" s="46"/>
      <c r="R58" s="46"/>
      <c r="S58" s="47" t="str">
        <f t="shared" si="1"/>
        <v/>
      </c>
      <c r="T58" s="47" t="str">
        <f t="shared" si="2"/>
        <v/>
      </c>
      <c r="U58" s="47">
        <f t="shared" si="3"/>
        <v>90</v>
      </c>
      <c r="V58" s="47" t="str">
        <f t="shared" si="4"/>
        <v/>
      </c>
      <c r="W58" s="47" t="str">
        <f t="shared" si="5"/>
        <v/>
      </c>
      <c r="X58" s="47" t="str">
        <f t="shared" si="6"/>
        <v/>
      </c>
      <c r="Y58" s="47" t="str">
        <f t="shared" si="7"/>
        <v/>
      </c>
      <c r="Z58" s="47">
        <f t="shared" si="16"/>
        <v>90</v>
      </c>
      <c r="AA58" s="47" t="str">
        <f t="shared" si="9"/>
        <v/>
      </c>
      <c r="AB58" s="47" t="str">
        <f t="shared" si="10"/>
        <v/>
      </c>
      <c r="AC58" s="47" t="str">
        <f t="shared" si="11"/>
        <v/>
      </c>
      <c r="AD58" s="47" t="str">
        <f t="shared" si="12"/>
        <v/>
      </c>
      <c r="AE58" s="47" t="str">
        <f t="shared" si="13"/>
        <v/>
      </c>
      <c r="AF58" s="47" t="str">
        <f t="shared" si="14"/>
        <v/>
      </c>
      <c r="AG58" s="47" t="str">
        <f t="shared" si="15"/>
        <v/>
      </c>
    </row>
    <row r="59" spans="1:33" x14ac:dyDescent="0.25">
      <c r="A59" s="36">
        <v>3</v>
      </c>
      <c r="B59" s="37" t="s">
        <v>104</v>
      </c>
      <c r="C59" s="37"/>
      <c r="D59" s="37"/>
      <c r="E59" s="37"/>
      <c r="F59" s="40"/>
      <c r="G59" s="49"/>
      <c r="H59" s="40"/>
      <c r="I59" s="40"/>
      <c r="J59" s="42">
        <v>1</v>
      </c>
      <c r="K59" s="43" t="s">
        <v>60</v>
      </c>
      <c r="L59" s="43" t="s">
        <v>122</v>
      </c>
      <c r="M59" s="44">
        <v>19</v>
      </c>
      <c r="N59" s="45">
        <v>1</v>
      </c>
      <c r="O59" s="45">
        <v>19</v>
      </c>
      <c r="P59" s="45">
        <f t="shared" si="0"/>
        <v>19</v>
      </c>
      <c r="Q59" s="46"/>
      <c r="R59" s="46"/>
      <c r="S59" s="47" t="str">
        <f t="shared" si="1"/>
        <v/>
      </c>
      <c r="T59" s="47" t="str">
        <f t="shared" si="2"/>
        <v/>
      </c>
      <c r="U59" s="47">
        <f t="shared" si="3"/>
        <v>19</v>
      </c>
      <c r="V59" s="47" t="str">
        <f t="shared" si="4"/>
        <v/>
      </c>
      <c r="W59" s="47" t="str">
        <f t="shared" si="5"/>
        <v/>
      </c>
      <c r="X59" s="47" t="str">
        <f t="shared" si="6"/>
        <v/>
      </c>
      <c r="Y59" s="47" t="str">
        <f t="shared" si="7"/>
        <v/>
      </c>
      <c r="Z59" s="47">
        <f t="shared" si="16"/>
        <v>19</v>
      </c>
      <c r="AA59" s="47" t="str">
        <f t="shared" si="9"/>
        <v/>
      </c>
      <c r="AB59" s="47" t="str">
        <f t="shared" si="10"/>
        <v/>
      </c>
      <c r="AC59" s="47" t="str">
        <f t="shared" si="11"/>
        <v/>
      </c>
      <c r="AD59" s="47" t="str">
        <f t="shared" si="12"/>
        <v/>
      </c>
      <c r="AE59" s="47" t="str">
        <f t="shared" si="13"/>
        <v/>
      </c>
      <c r="AF59" s="47" t="str">
        <f t="shared" si="14"/>
        <v/>
      </c>
      <c r="AG59" s="47" t="str">
        <f t="shared" si="15"/>
        <v/>
      </c>
    </row>
    <row r="60" spans="1:33" x14ac:dyDescent="0.25">
      <c r="A60" s="36">
        <v>3</v>
      </c>
      <c r="B60" s="37" t="s">
        <v>104</v>
      </c>
      <c r="C60" s="37"/>
      <c r="D60" s="37"/>
      <c r="E60" s="37"/>
      <c r="F60" s="40"/>
      <c r="G60" s="49"/>
      <c r="H60" s="40"/>
      <c r="I60" s="40"/>
      <c r="J60" s="42">
        <v>10</v>
      </c>
      <c r="K60" s="43" t="s">
        <v>97</v>
      </c>
      <c r="L60" s="43" t="s">
        <v>123</v>
      </c>
      <c r="M60" s="44">
        <v>437</v>
      </c>
      <c r="N60" s="45">
        <v>1</v>
      </c>
      <c r="O60" s="45">
        <v>4370</v>
      </c>
      <c r="P60" s="45">
        <f t="shared" si="0"/>
        <v>4370</v>
      </c>
      <c r="Q60" s="46"/>
      <c r="R60" s="46"/>
      <c r="S60" s="47" t="str">
        <f t="shared" si="1"/>
        <v/>
      </c>
      <c r="T60" s="47" t="str">
        <f t="shared" si="2"/>
        <v/>
      </c>
      <c r="U60" s="47">
        <f t="shared" si="3"/>
        <v>4370</v>
      </c>
      <c r="V60" s="47" t="str">
        <f t="shared" si="4"/>
        <v/>
      </c>
      <c r="W60" s="47" t="str">
        <f t="shared" si="5"/>
        <v/>
      </c>
      <c r="X60" s="47" t="str">
        <f t="shared" si="6"/>
        <v/>
      </c>
      <c r="Y60" s="47" t="str">
        <f t="shared" si="7"/>
        <v/>
      </c>
      <c r="Z60" s="47">
        <f t="shared" si="16"/>
        <v>4370</v>
      </c>
      <c r="AA60" s="47" t="str">
        <f t="shared" si="9"/>
        <v/>
      </c>
      <c r="AB60" s="47" t="str">
        <f t="shared" si="10"/>
        <v/>
      </c>
      <c r="AC60" s="47" t="str">
        <f t="shared" si="11"/>
        <v/>
      </c>
      <c r="AD60" s="47" t="str">
        <f t="shared" si="12"/>
        <v/>
      </c>
      <c r="AE60" s="47" t="str">
        <f t="shared" si="13"/>
        <v/>
      </c>
      <c r="AF60" s="47" t="str">
        <f t="shared" si="14"/>
        <v/>
      </c>
      <c r="AG60" s="47" t="str">
        <f t="shared" si="15"/>
        <v/>
      </c>
    </row>
    <row r="61" spans="1:33" x14ac:dyDescent="0.25">
      <c r="A61" s="36">
        <v>3</v>
      </c>
      <c r="B61" s="37" t="s">
        <v>104</v>
      </c>
      <c r="C61" s="37"/>
      <c r="D61" s="37"/>
      <c r="E61" s="37"/>
      <c r="F61" s="40"/>
      <c r="G61" s="49"/>
      <c r="H61" s="40"/>
      <c r="I61" s="40"/>
      <c r="J61" s="42">
        <v>10</v>
      </c>
      <c r="K61" s="43" t="s">
        <v>60</v>
      </c>
      <c r="L61" s="43" t="s">
        <v>124</v>
      </c>
      <c r="M61" s="44">
        <v>38</v>
      </c>
      <c r="N61" s="45">
        <v>1</v>
      </c>
      <c r="O61" s="45">
        <v>380</v>
      </c>
      <c r="P61" s="45">
        <f t="shared" si="0"/>
        <v>380</v>
      </c>
      <c r="Q61" s="46"/>
      <c r="R61" s="46"/>
      <c r="S61" s="47" t="str">
        <f t="shared" si="1"/>
        <v/>
      </c>
      <c r="T61" s="47" t="str">
        <f t="shared" si="2"/>
        <v/>
      </c>
      <c r="U61" s="47">
        <f t="shared" si="3"/>
        <v>380</v>
      </c>
      <c r="V61" s="47" t="str">
        <f t="shared" si="4"/>
        <v/>
      </c>
      <c r="W61" s="47" t="str">
        <f t="shared" si="5"/>
        <v/>
      </c>
      <c r="X61" s="47" t="str">
        <f t="shared" si="6"/>
        <v/>
      </c>
      <c r="Y61" s="47" t="str">
        <f t="shared" si="7"/>
        <v/>
      </c>
      <c r="Z61" s="47">
        <f t="shared" si="16"/>
        <v>380</v>
      </c>
      <c r="AA61" s="47" t="str">
        <f t="shared" si="9"/>
        <v/>
      </c>
      <c r="AB61" s="47" t="str">
        <f t="shared" si="10"/>
        <v/>
      </c>
      <c r="AC61" s="47" t="str">
        <f t="shared" si="11"/>
        <v/>
      </c>
      <c r="AD61" s="47" t="str">
        <f t="shared" si="12"/>
        <v/>
      </c>
      <c r="AE61" s="47" t="str">
        <f t="shared" si="13"/>
        <v/>
      </c>
      <c r="AF61" s="47" t="str">
        <f t="shared" si="14"/>
        <v/>
      </c>
      <c r="AG61" s="47" t="str">
        <f t="shared" si="15"/>
        <v/>
      </c>
    </row>
    <row r="62" spans="1:33" x14ac:dyDescent="0.25">
      <c r="A62" s="36">
        <v>3</v>
      </c>
      <c r="B62" s="37" t="s">
        <v>104</v>
      </c>
      <c r="C62" s="37"/>
      <c r="D62" s="37"/>
      <c r="E62" s="37"/>
      <c r="F62" s="40"/>
      <c r="G62" s="49"/>
      <c r="H62" s="40"/>
      <c r="I62" s="40"/>
      <c r="J62" s="42">
        <v>26</v>
      </c>
      <c r="K62" s="43" t="s">
        <v>82</v>
      </c>
      <c r="L62" s="43" t="s">
        <v>125</v>
      </c>
      <c r="M62" s="44">
        <v>20</v>
      </c>
      <c r="N62" s="45">
        <v>1</v>
      </c>
      <c r="O62" s="45">
        <v>520</v>
      </c>
      <c r="P62" s="45">
        <f t="shared" si="0"/>
        <v>520</v>
      </c>
      <c r="Q62" s="46"/>
      <c r="R62" s="46"/>
      <c r="S62" s="47" t="str">
        <f t="shared" si="1"/>
        <v/>
      </c>
      <c r="T62" s="47" t="str">
        <f t="shared" si="2"/>
        <v/>
      </c>
      <c r="U62" s="47">
        <f t="shared" si="3"/>
        <v>520</v>
      </c>
      <c r="V62" s="47" t="str">
        <f t="shared" si="4"/>
        <v/>
      </c>
      <c r="W62" s="47" t="str">
        <f t="shared" si="5"/>
        <v/>
      </c>
      <c r="X62" s="47" t="str">
        <f t="shared" si="6"/>
        <v/>
      </c>
      <c r="Y62" s="47" t="str">
        <f t="shared" si="7"/>
        <v/>
      </c>
      <c r="Z62" s="47">
        <f t="shared" si="16"/>
        <v>520</v>
      </c>
      <c r="AA62" s="47" t="str">
        <f t="shared" si="9"/>
        <v/>
      </c>
      <c r="AB62" s="47" t="str">
        <f t="shared" si="10"/>
        <v/>
      </c>
      <c r="AC62" s="47" t="str">
        <f t="shared" si="11"/>
        <v/>
      </c>
      <c r="AD62" s="47" t="str">
        <f t="shared" si="12"/>
        <v/>
      </c>
      <c r="AE62" s="47" t="str">
        <f t="shared" si="13"/>
        <v/>
      </c>
      <c r="AF62" s="47" t="str">
        <f t="shared" si="14"/>
        <v/>
      </c>
      <c r="AG62" s="47" t="str">
        <f t="shared" si="15"/>
        <v/>
      </c>
    </row>
    <row r="63" spans="1:33" x14ac:dyDescent="0.25">
      <c r="A63" s="36">
        <v>3</v>
      </c>
      <c r="B63" s="37" t="s">
        <v>104</v>
      </c>
      <c r="C63" s="37"/>
      <c r="D63" s="37"/>
      <c r="E63" s="37"/>
      <c r="F63" s="40"/>
      <c r="G63" s="49"/>
      <c r="H63" s="40"/>
      <c r="I63" s="40"/>
      <c r="J63" s="42">
        <v>2</v>
      </c>
      <c r="K63" s="43" t="s">
        <v>82</v>
      </c>
      <c r="L63" s="43" t="s">
        <v>126</v>
      </c>
      <c r="M63" s="44">
        <v>30</v>
      </c>
      <c r="N63" s="45">
        <v>1</v>
      </c>
      <c r="O63" s="45">
        <v>60</v>
      </c>
      <c r="P63" s="45">
        <f t="shared" si="0"/>
        <v>60</v>
      </c>
      <c r="Q63" s="46"/>
      <c r="R63" s="46"/>
      <c r="S63" s="47" t="str">
        <f t="shared" si="1"/>
        <v/>
      </c>
      <c r="T63" s="47" t="str">
        <f t="shared" si="2"/>
        <v/>
      </c>
      <c r="U63" s="47">
        <f t="shared" si="3"/>
        <v>60</v>
      </c>
      <c r="V63" s="47" t="str">
        <f t="shared" si="4"/>
        <v/>
      </c>
      <c r="W63" s="47" t="str">
        <f t="shared" si="5"/>
        <v/>
      </c>
      <c r="X63" s="47" t="str">
        <f t="shared" si="6"/>
        <v/>
      </c>
      <c r="Y63" s="47" t="str">
        <f t="shared" si="7"/>
        <v/>
      </c>
      <c r="Z63" s="47">
        <f t="shared" si="16"/>
        <v>60</v>
      </c>
      <c r="AA63" s="47" t="str">
        <f t="shared" si="9"/>
        <v/>
      </c>
      <c r="AB63" s="47" t="str">
        <f t="shared" si="10"/>
        <v/>
      </c>
      <c r="AC63" s="47" t="str">
        <f t="shared" si="11"/>
        <v/>
      </c>
      <c r="AD63" s="47" t="str">
        <f t="shared" si="12"/>
        <v/>
      </c>
      <c r="AE63" s="47" t="str">
        <f t="shared" si="13"/>
        <v/>
      </c>
      <c r="AF63" s="47" t="str">
        <f t="shared" si="14"/>
        <v/>
      </c>
      <c r="AG63" s="47" t="str">
        <f t="shared" si="15"/>
        <v/>
      </c>
    </row>
    <row r="64" spans="1:33" x14ac:dyDescent="0.25">
      <c r="A64" s="36">
        <v>3</v>
      </c>
      <c r="B64" s="37" t="s">
        <v>104</v>
      </c>
      <c r="C64" s="37"/>
      <c r="D64" s="37"/>
      <c r="E64" s="37"/>
      <c r="F64" s="40"/>
      <c r="G64" s="49"/>
      <c r="H64" s="40"/>
      <c r="I64" s="40"/>
      <c r="J64" s="42">
        <v>6</v>
      </c>
      <c r="K64" s="43" t="s">
        <v>82</v>
      </c>
      <c r="L64" s="43" t="s">
        <v>127</v>
      </c>
      <c r="M64" s="44">
        <v>35</v>
      </c>
      <c r="N64" s="45">
        <v>1</v>
      </c>
      <c r="O64" s="45">
        <v>210</v>
      </c>
      <c r="P64" s="45">
        <f t="shared" si="0"/>
        <v>210</v>
      </c>
      <c r="Q64" s="46"/>
      <c r="R64" s="46"/>
      <c r="S64" s="47" t="str">
        <f t="shared" si="1"/>
        <v/>
      </c>
      <c r="T64" s="47" t="str">
        <f t="shared" si="2"/>
        <v/>
      </c>
      <c r="U64" s="47">
        <f t="shared" si="3"/>
        <v>210</v>
      </c>
      <c r="V64" s="47" t="str">
        <f t="shared" si="4"/>
        <v/>
      </c>
      <c r="W64" s="47" t="str">
        <f t="shared" si="5"/>
        <v/>
      </c>
      <c r="X64" s="47" t="str">
        <f t="shared" si="6"/>
        <v/>
      </c>
      <c r="Y64" s="47" t="str">
        <f t="shared" si="7"/>
        <v/>
      </c>
      <c r="Z64" s="47">
        <f t="shared" si="16"/>
        <v>210</v>
      </c>
      <c r="AA64" s="47" t="str">
        <f t="shared" si="9"/>
        <v/>
      </c>
      <c r="AB64" s="47" t="str">
        <f t="shared" si="10"/>
        <v/>
      </c>
      <c r="AC64" s="47" t="str">
        <f t="shared" si="11"/>
        <v/>
      </c>
      <c r="AD64" s="47" t="str">
        <f t="shared" si="12"/>
        <v/>
      </c>
      <c r="AE64" s="47" t="str">
        <f t="shared" si="13"/>
        <v/>
      </c>
      <c r="AF64" s="47" t="str">
        <f t="shared" si="14"/>
        <v/>
      </c>
      <c r="AG64" s="47" t="str">
        <f t="shared" si="15"/>
        <v/>
      </c>
    </row>
    <row r="65" spans="1:33" x14ac:dyDescent="0.25">
      <c r="A65" s="36">
        <v>3</v>
      </c>
      <c r="B65" s="37" t="s">
        <v>104</v>
      </c>
      <c r="C65" s="37"/>
      <c r="D65" s="37"/>
      <c r="E65" s="37"/>
      <c r="F65" s="40"/>
      <c r="G65" s="49"/>
      <c r="H65" s="40"/>
      <c r="I65" s="40"/>
      <c r="J65" s="42">
        <v>104</v>
      </c>
      <c r="K65" s="43" t="s">
        <v>82</v>
      </c>
      <c r="L65" s="43" t="s">
        <v>128</v>
      </c>
      <c r="M65" s="44">
        <v>8.5</v>
      </c>
      <c r="N65" s="45">
        <v>1</v>
      </c>
      <c r="O65" s="45">
        <v>884</v>
      </c>
      <c r="P65" s="45">
        <f t="shared" si="0"/>
        <v>884</v>
      </c>
      <c r="Q65" s="46"/>
      <c r="R65" s="46"/>
      <c r="S65" s="47" t="str">
        <f t="shared" si="1"/>
        <v/>
      </c>
      <c r="T65" s="47" t="str">
        <f t="shared" si="2"/>
        <v/>
      </c>
      <c r="U65" s="47">
        <f t="shared" si="3"/>
        <v>884</v>
      </c>
      <c r="V65" s="47" t="str">
        <f t="shared" si="4"/>
        <v/>
      </c>
      <c r="W65" s="47" t="str">
        <f t="shared" si="5"/>
        <v/>
      </c>
      <c r="X65" s="47" t="str">
        <f t="shared" si="6"/>
        <v/>
      </c>
      <c r="Y65" s="47" t="str">
        <f t="shared" si="7"/>
        <v/>
      </c>
      <c r="Z65" s="47">
        <f t="shared" si="16"/>
        <v>884</v>
      </c>
      <c r="AA65" s="47" t="str">
        <f t="shared" si="9"/>
        <v/>
      </c>
      <c r="AB65" s="47" t="str">
        <f t="shared" si="10"/>
        <v/>
      </c>
      <c r="AC65" s="47" t="str">
        <f t="shared" si="11"/>
        <v/>
      </c>
      <c r="AD65" s="47" t="str">
        <f t="shared" si="12"/>
        <v/>
      </c>
      <c r="AE65" s="47" t="str">
        <f t="shared" si="13"/>
        <v/>
      </c>
      <c r="AF65" s="47" t="str">
        <f t="shared" si="14"/>
        <v/>
      </c>
      <c r="AG65" s="47" t="str">
        <f t="shared" si="15"/>
        <v/>
      </c>
    </row>
    <row r="66" spans="1:33" x14ac:dyDescent="0.25">
      <c r="A66" s="36">
        <v>3</v>
      </c>
      <c r="B66" s="37" t="s">
        <v>104</v>
      </c>
      <c r="C66" s="37"/>
      <c r="D66" s="37"/>
      <c r="E66" s="37"/>
      <c r="F66" s="40"/>
      <c r="G66" s="49"/>
      <c r="H66" s="40"/>
      <c r="I66" s="40"/>
      <c r="J66" s="42">
        <v>107</v>
      </c>
      <c r="K66" s="43" t="s">
        <v>82</v>
      </c>
      <c r="L66" s="43" t="s">
        <v>129</v>
      </c>
      <c r="M66" s="44">
        <v>8.5</v>
      </c>
      <c r="N66" s="45">
        <v>1</v>
      </c>
      <c r="O66" s="45">
        <v>909.5</v>
      </c>
      <c r="P66" s="45">
        <f t="shared" si="0"/>
        <v>909.5</v>
      </c>
      <c r="Q66" s="46"/>
      <c r="R66" s="46"/>
      <c r="S66" s="47" t="str">
        <f t="shared" si="1"/>
        <v/>
      </c>
      <c r="T66" s="47" t="str">
        <f t="shared" si="2"/>
        <v/>
      </c>
      <c r="U66" s="47">
        <f t="shared" si="3"/>
        <v>909.5</v>
      </c>
      <c r="V66" s="47" t="str">
        <f t="shared" si="4"/>
        <v/>
      </c>
      <c r="W66" s="47" t="str">
        <f t="shared" si="5"/>
        <v/>
      </c>
      <c r="X66" s="47" t="str">
        <f t="shared" si="6"/>
        <v/>
      </c>
      <c r="Y66" s="47" t="str">
        <f t="shared" si="7"/>
        <v/>
      </c>
      <c r="Z66" s="47">
        <f t="shared" si="16"/>
        <v>909.5</v>
      </c>
      <c r="AA66" s="47" t="str">
        <f t="shared" si="9"/>
        <v/>
      </c>
      <c r="AB66" s="47" t="str">
        <f t="shared" si="10"/>
        <v/>
      </c>
      <c r="AC66" s="47" t="str">
        <f t="shared" si="11"/>
        <v/>
      </c>
      <c r="AD66" s="47" t="str">
        <f t="shared" si="12"/>
        <v/>
      </c>
      <c r="AE66" s="47" t="str">
        <f t="shared" si="13"/>
        <v/>
      </c>
      <c r="AF66" s="47" t="str">
        <f t="shared" si="14"/>
        <v/>
      </c>
      <c r="AG66" s="47" t="str">
        <f t="shared" si="15"/>
        <v/>
      </c>
    </row>
    <row r="67" spans="1:33" x14ac:dyDescent="0.25">
      <c r="A67" s="36">
        <v>3</v>
      </c>
      <c r="B67" s="37" t="s">
        <v>104</v>
      </c>
      <c r="C67" s="37"/>
      <c r="D67" s="37"/>
      <c r="E67" s="37"/>
      <c r="F67" s="40"/>
      <c r="G67" s="49"/>
      <c r="H67" s="40"/>
      <c r="I67" s="40"/>
      <c r="J67" s="42">
        <v>48</v>
      </c>
      <c r="K67" s="43" t="s">
        <v>116</v>
      </c>
      <c r="L67" s="43" t="s">
        <v>130</v>
      </c>
      <c r="M67" s="44">
        <v>13.5</v>
      </c>
      <c r="N67" s="45">
        <v>1</v>
      </c>
      <c r="O67" s="45">
        <v>648</v>
      </c>
      <c r="P67" s="45">
        <f t="shared" si="0"/>
        <v>648</v>
      </c>
      <c r="Q67" s="46"/>
      <c r="R67" s="46"/>
      <c r="S67" s="47" t="str">
        <f t="shared" si="1"/>
        <v/>
      </c>
      <c r="T67" s="47" t="str">
        <f t="shared" si="2"/>
        <v/>
      </c>
      <c r="U67" s="47">
        <f t="shared" si="3"/>
        <v>648</v>
      </c>
      <c r="V67" s="47" t="str">
        <f t="shared" si="4"/>
        <v/>
      </c>
      <c r="W67" s="47" t="str">
        <f t="shared" si="5"/>
        <v/>
      </c>
      <c r="X67" s="47" t="str">
        <f t="shared" si="6"/>
        <v/>
      </c>
      <c r="Y67" s="47" t="str">
        <f t="shared" si="7"/>
        <v/>
      </c>
      <c r="Z67" s="47">
        <f t="shared" si="16"/>
        <v>648</v>
      </c>
      <c r="AA67" s="47" t="str">
        <f t="shared" si="9"/>
        <v/>
      </c>
      <c r="AB67" s="47" t="str">
        <f t="shared" si="10"/>
        <v/>
      </c>
      <c r="AC67" s="47" t="str">
        <f t="shared" si="11"/>
        <v/>
      </c>
      <c r="AD67" s="47" t="str">
        <f t="shared" si="12"/>
        <v/>
      </c>
      <c r="AE67" s="47" t="str">
        <f t="shared" si="13"/>
        <v/>
      </c>
      <c r="AF67" s="47" t="str">
        <f t="shared" si="14"/>
        <v/>
      </c>
      <c r="AG67" s="47" t="str">
        <f t="shared" si="15"/>
        <v/>
      </c>
    </row>
    <row r="68" spans="1:33" x14ac:dyDescent="0.25">
      <c r="A68" s="36">
        <v>3</v>
      </c>
      <c r="B68" s="37" t="s">
        <v>104</v>
      </c>
      <c r="C68" s="37"/>
      <c r="D68" s="37"/>
      <c r="E68" s="37"/>
      <c r="F68" s="40"/>
      <c r="G68" s="49"/>
      <c r="H68" s="40"/>
      <c r="I68" s="40"/>
      <c r="J68" s="42">
        <v>5</v>
      </c>
      <c r="K68" s="43" t="s">
        <v>82</v>
      </c>
      <c r="L68" s="43" t="s">
        <v>131</v>
      </c>
      <c r="M68" s="44">
        <v>58</v>
      </c>
      <c r="N68" s="45">
        <v>1</v>
      </c>
      <c r="O68" s="45">
        <v>290</v>
      </c>
      <c r="P68" s="45">
        <f t="shared" si="0"/>
        <v>290</v>
      </c>
      <c r="Q68" s="46"/>
      <c r="R68" s="46"/>
      <c r="S68" s="47" t="str">
        <f t="shared" si="1"/>
        <v/>
      </c>
      <c r="T68" s="47" t="str">
        <f t="shared" si="2"/>
        <v/>
      </c>
      <c r="U68" s="47">
        <f t="shared" si="3"/>
        <v>290</v>
      </c>
      <c r="V68" s="47" t="str">
        <f t="shared" si="4"/>
        <v/>
      </c>
      <c r="W68" s="47" t="str">
        <f t="shared" si="5"/>
        <v/>
      </c>
      <c r="X68" s="47" t="str">
        <f t="shared" si="6"/>
        <v/>
      </c>
      <c r="Y68" s="47" t="str">
        <f t="shared" si="7"/>
        <v/>
      </c>
      <c r="Z68" s="47">
        <f t="shared" si="16"/>
        <v>290</v>
      </c>
      <c r="AA68" s="47" t="str">
        <f t="shared" si="9"/>
        <v/>
      </c>
      <c r="AB68" s="47" t="str">
        <f t="shared" si="10"/>
        <v/>
      </c>
      <c r="AC68" s="47" t="str">
        <f t="shared" si="11"/>
        <v/>
      </c>
      <c r="AD68" s="47" t="str">
        <f t="shared" si="12"/>
        <v/>
      </c>
      <c r="AE68" s="47" t="str">
        <f t="shared" si="13"/>
        <v/>
      </c>
      <c r="AF68" s="47" t="str">
        <f t="shared" si="14"/>
        <v/>
      </c>
      <c r="AG68" s="47" t="str">
        <f t="shared" si="15"/>
        <v/>
      </c>
    </row>
    <row r="69" spans="1:33" x14ac:dyDescent="0.25">
      <c r="A69" s="36">
        <v>3</v>
      </c>
      <c r="B69" s="37" t="s">
        <v>104</v>
      </c>
      <c r="C69" s="37"/>
      <c r="D69" s="37"/>
      <c r="E69" s="37"/>
      <c r="F69" s="40"/>
      <c r="G69" s="49"/>
      <c r="H69" s="40"/>
      <c r="I69" s="40"/>
      <c r="J69" s="42">
        <v>1</v>
      </c>
      <c r="K69" s="43" t="s">
        <v>46</v>
      </c>
      <c r="L69" s="43" t="s">
        <v>132</v>
      </c>
      <c r="M69" s="44">
        <v>43.5</v>
      </c>
      <c r="N69" s="45">
        <v>1</v>
      </c>
      <c r="O69" s="45">
        <v>43.5</v>
      </c>
      <c r="P69" s="45">
        <f t="shared" si="0"/>
        <v>43.5</v>
      </c>
      <c r="Q69" s="46"/>
      <c r="R69" s="46"/>
      <c r="S69" s="47" t="str">
        <f t="shared" si="1"/>
        <v/>
      </c>
      <c r="T69" s="47" t="str">
        <f t="shared" si="2"/>
        <v/>
      </c>
      <c r="U69" s="47">
        <f t="shared" si="3"/>
        <v>43.5</v>
      </c>
      <c r="V69" s="47" t="str">
        <f t="shared" si="4"/>
        <v/>
      </c>
      <c r="W69" s="47" t="str">
        <f t="shared" si="5"/>
        <v/>
      </c>
      <c r="X69" s="47" t="str">
        <f t="shared" si="6"/>
        <v/>
      </c>
      <c r="Y69" s="47" t="str">
        <f t="shared" si="7"/>
        <v/>
      </c>
      <c r="Z69" s="47">
        <f t="shared" si="16"/>
        <v>43.5</v>
      </c>
      <c r="AA69" s="47" t="str">
        <f t="shared" si="9"/>
        <v/>
      </c>
      <c r="AB69" s="47" t="str">
        <f t="shared" si="10"/>
        <v/>
      </c>
      <c r="AC69" s="47" t="str">
        <f t="shared" si="11"/>
        <v/>
      </c>
      <c r="AD69" s="47" t="str">
        <f t="shared" si="12"/>
        <v/>
      </c>
      <c r="AE69" s="47" t="str">
        <f t="shared" si="13"/>
        <v/>
      </c>
      <c r="AF69" s="47" t="str">
        <f t="shared" si="14"/>
        <v/>
      </c>
      <c r="AG69" s="47" t="str">
        <f t="shared" si="15"/>
        <v/>
      </c>
    </row>
    <row r="70" spans="1:33" x14ac:dyDescent="0.25">
      <c r="A70" s="36">
        <v>3</v>
      </c>
      <c r="B70" s="37" t="s">
        <v>104</v>
      </c>
      <c r="C70" s="37"/>
      <c r="D70" s="37"/>
      <c r="E70" s="37"/>
      <c r="F70" s="40"/>
      <c r="G70" s="49"/>
      <c r="H70" s="40"/>
      <c r="I70" s="40"/>
      <c r="J70" s="42">
        <v>2</v>
      </c>
      <c r="K70" s="43" t="s">
        <v>82</v>
      </c>
      <c r="L70" s="43" t="s">
        <v>133</v>
      </c>
      <c r="M70" s="44">
        <v>10</v>
      </c>
      <c r="N70" s="45">
        <v>1</v>
      </c>
      <c r="O70" s="45">
        <v>20</v>
      </c>
      <c r="P70" s="45">
        <f t="shared" si="0"/>
        <v>20</v>
      </c>
      <c r="Q70" s="46"/>
      <c r="R70" s="46"/>
      <c r="S70" s="47" t="str">
        <f t="shared" si="1"/>
        <v/>
      </c>
      <c r="T70" s="47" t="str">
        <f t="shared" si="2"/>
        <v/>
      </c>
      <c r="U70" s="47">
        <f t="shared" si="3"/>
        <v>20</v>
      </c>
      <c r="V70" s="47" t="str">
        <f t="shared" si="4"/>
        <v/>
      </c>
      <c r="W70" s="47" t="str">
        <f t="shared" si="5"/>
        <v/>
      </c>
      <c r="X70" s="47" t="str">
        <f t="shared" si="6"/>
        <v/>
      </c>
      <c r="Y70" s="47" t="str">
        <f t="shared" si="7"/>
        <v/>
      </c>
      <c r="Z70" s="47">
        <f t="shared" si="16"/>
        <v>20</v>
      </c>
      <c r="AA70" s="47" t="str">
        <f t="shared" si="9"/>
        <v/>
      </c>
      <c r="AB70" s="47" t="str">
        <f t="shared" si="10"/>
        <v/>
      </c>
      <c r="AC70" s="47" t="str">
        <f t="shared" si="11"/>
        <v/>
      </c>
      <c r="AD70" s="47" t="str">
        <f t="shared" si="12"/>
        <v/>
      </c>
      <c r="AE70" s="47" t="str">
        <f t="shared" si="13"/>
        <v/>
      </c>
      <c r="AF70" s="47" t="str">
        <f t="shared" si="14"/>
        <v/>
      </c>
      <c r="AG70" s="47" t="str">
        <f t="shared" si="15"/>
        <v/>
      </c>
    </row>
    <row r="71" spans="1:33" x14ac:dyDescent="0.25">
      <c r="A71" s="36">
        <v>3</v>
      </c>
      <c r="B71" s="37" t="s">
        <v>104</v>
      </c>
      <c r="C71" s="37"/>
      <c r="D71" s="37"/>
      <c r="E71" s="37"/>
      <c r="F71" s="40"/>
      <c r="G71" s="49"/>
      <c r="H71" s="40"/>
      <c r="I71" s="40"/>
      <c r="J71" s="42">
        <v>3</v>
      </c>
      <c r="K71" s="43" t="s">
        <v>82</v>
      </c>
      <c r="L71" s="43" t="s">
        <v>134</v>
      </c>
      <c r="M71" s="44">
        <v>10</v>
      </c>
      <c r="N71" s="45">
        <v>1</v>
      </c>
      <c r="O71" s="45">
        <v>30</v>
      </c>
      <c r="P71" s="45">
        <f t="shared" si="0"/>
        <v>30</v>
      </c>
      <c r="Q71" s="46"/>
      <c r="R71" s="46"/>
      <c r="S71" s="47" t="str">
        <f t="shared" si="1"/>
        <v/>
      </c>
      <c r="T71" s="47" t="str">
        <f t="shared" si="2"/>
        <v/>
      </c>
      <c r="U71" s="47">
        <f t="shared" si="3"/>
        <v>30</v>
      </c>
      <c r="V71" s="47" t="str">
        <f t="shared" si="4"/>
        <v/>
      </c>
      <c r="W71" s="47" t="str">
        <f t="shared" si="5"/>
        <v/>
      </c>
      <c r="X71" s="47" t="str">
        <f t="shared" si="6"/>
        <v/>
      </c>
      <c r="Y71" s="47" t="str">
        <f t="shared" si="7"/>
        <v/>
      </c>
      <c r="Z71" s="47">
        <f t="shared" si="16"/>
        <v>30</v>
      </c>
      <c r="AA71" s="47" t="str">
        <f t="shared" si="9"/>
        <v/>
      </c>
      <c r="AB71" s="47" t="str">
        <f t="shared" si="10"/>
        <v/>
      </c>
      <c r="AC71" s="47" t="str">
        <f t="shared" si="11"/>
        <v/>
      </c>
      <c r="AD71" s="47" t="str">
        <f t="shared" si="12"/>
        <v/>
      </c>
      <c r="AE71" s="47" t="str">
        <f t="shared" si="13"/>
        <v/>
      </c>
      <c r="AF71" s="47" t="str">
        <f t="shared" si="14"/>
        <v/>
      </c>
      <c r="AG71" s="47" t="str">
        <f t="shared" si="15"/>
        <v/>
      </c>
    </row>
    <row r="72" spans="1:33" x14ac:dyDescent="0.25">
      <c r="A72" s="36">
        <v>3</v>
      </c>
      <c r="B72" s="37" t="s">
        <v>104</v>
      </c>
      <c r="C72" s="37"/>
      <c r="D72" s="37"/>
      <c r="E72" s="37"/>
      <c r="F72" s="40"/>
      <c r="G72" s="49"/>
      <c r="H72" s="40"/>
      <c r="I72" s="40"/>
      <c r="J72" s="42">
        <v>2</v>
      </c>
      <c r="K72" s="43" t="s">
        <v>82</v>
      </c>
      <c r="L72" s="43" t="s">
        <v>135</v>
      </c>
      <c r="M72" s="44">
        <v>8.5</v>
      </c>
      <c r="N72" s="45">
        <v>1</v>
      </c>
      <c r="O72" s="45">
        <v>17</v>
      </c>
      <c r="P72" s="45">
        <f t="shared" si="0"/>
        <v>17</v>
      </c>
      <c r="Q72" s="46"/>
      <c r="R72" s="46"/>
      <c r="S72" s="47" t="str">
        <f t="shared" si="1"/>
        <v/>
      </c>
      <c r="T72" s="47" t="str">
        <f t="shared" si="2"/>
        <v/>
      </c>
      <c r="U72" s="47">
        <f t="shared" si="3"/>
        <v>17</v>
      </c>
      <c r="V72" s="47" t="str">
        <f t="shared" si="4"/>
        <v/>
      </c>
      <c r="W72" s="47" t="str">
        <f t="shared" si="5"/>
        <v/>
      </c>
      <c r="X72" s="47" t="str">
        <f t="shared" si="6"/>
        <v/>
      </c>
      <c r="Y72" s="47" t="str">
        <f t="shared" si="7"/>
        <v/>
      </c>
      <c r="Z72" s="47">
        <f t="shared" si="16"/>
        <v>17</v>
      </c>
      <c r="AA72" s="47" t="str">
        <f t="shared" si="9"/>
        <v/>
      </c>
      <c r="AB72" s="47" t="str">
        <f t="shared" si="10"/>
        <v/>
      </c>
      <c r="AC72" s="47" t="str">
        <f t="shared" si="11"/>
        <v/>
      </c>
      <c r="AD72" s="47" t="str">
        <f t="shared" si="12"/>
        <v/>
      </c>
      <c r="AE72" s="47" t="str">
        <f t="shared" si="13"/>
        <v/>
      </c>
      <c r="AF72" s="47" t="str">
        <f t="shared" si="14"/>
        <v/>
      </c>
      <c r="AG72" s="47" t="str">
        <f t="shared" si="15"/>
        <v/>
      </c>
    </row>
    <row r="73" spans="1:33" x14ac:dyDescent="0.25">
      <c r="A73" s="36">
        <v>3</v>
      </c>
      <c r="B73" s="37" t="s">
        <v>104</v>
      </c>
      <c r="C73" s="37"/>
      <c r="D73" s="37"/>
      <c r="E73" s="37"/>
      <c r="F73" s="40"/>
      <c r="G73" s="49"/>
      <c r="H73" s="40"/>
      <c r="I73" s="40"/>
      <c r="J73" s="42">
        <v>5</v>
      </c>
      <c r="K73" s="43" t="s">
        <v>46</v>
      </c>
      <c r="L73" s="43" t="s">
        <v>136</v>
      </c>
      <c r="M73" s="44">
        <v>14</v>
      </c>
      <c r="N73" s="45">
        <v>1</v>
      </c>
      <c r="O73" s="45">
        <v>70</v>
      </c>
      <c r="P73" s="45">
        <f t="shared" si="0"/>
        <v>70</v>
      </c>
      <c r="Q73" s="46"/>
      <c r="R73" s="46"/>
      <c r="S73" s="47" t="str">
        <f t="shared" si="1"/>
        <v/>
      </c>
      <c r="T73" s="47" t="str">
        <f t="shared" si="2"/>
        <v/>
      </c>
      <c r="U73" s="47">
        <f t="shared" si="3"/>
        <v>70</v>
      </c>
      <c r="V73" s="47" t="str">
        <f t="shared" si="4"/>
        <v/>
      </c>
      <c r="W73" s="47" t="str">
        <f t="shared" si="5"/>
        <v/>
      </c>
      <c r="X73" s="47" t="str">
        <f t="shared" si="6"/>
        <v/>
      </c>
      <c r="Y73" s="47" t="str">
        <f t="shared" si="7"/>
        <v/>
      </c>
      <c r="Z73" s="47">
        <f t="shared" si="16"/>
        <v>70</v>
      </c>
      <c r="AA73" s="47" t="str">
        <f t="shared" si="9"/>
        <v/>
      </c>
      <c r="AB73" s="47" t="str">
        <f t="shared" si="10"/>
        <v/>
      </c>
      <c r="AC73" s="47" t="str">
        <f t="shared" si="11"/>
        <v/>
      </c>
      <c r="AD73" s="47" t="str">
        <f t="shared" si="12"/>
        <v/>
      </c>
      <c r="AE73" s="47" t="str">
        <f t="shared" si="13"/>
        <v/>
      </c>
      <c r="AF73" s="47" t="str">
        <f t="shared" si="14"/>
        <v/>
      </c>
      <c r="AG73" s="47" t="str">
        <f t="shared" si="15"/>
        <v/>
      </c>
    </row>
    <row r="74" spans="1:33" x14ac:dyDescent="0.25">
      <c r="A74" s="36">
        <v>3</v>
      </c>
      <c r="B74" s="37" t="s">
        <v>104</v>
      </c>
      <c r="C74" s="37"/>
      <c r="D74" s="37"/>
      <c r="E74" s="37"/>
      <c r="F74" s="40"/>
      <c r="G74" s="49"/>
      <c r="H74" s="40"/>
      <c r="I74" s="40"/>
      <c r="J74" s="42">
        <v>1</v>
      </c>
      <c r="K74" s="43" t="s">
        <v>46</v>
      </c>
      <c r="L74" s="43" t="s">
        <v>137</v>
      </c>
      <c r="M74" s="44">
        <v>50</v>
      </c>
      <c r="N74" s="45">
        <v>1</v>
      </c>
      <c r="O74" s="45">
        <v>50</v>
      </c>
      <c r="P74" s="45">
        <f t="shared" si="0"/>
        <v>50</v>
      </c>
      <c r="Q74" s="46"/>
      <c r="R74" s="46"/>
      <c r="S74" s="47" t="str">
        <f t="shared" si="1"/>
        <v/>
      </c>
      <c r="T74" s="47" t="str">
        <f t="shared" si="2"/>
        <v/>
      </c>
      <c r="U74" s="47">
        <f t="shared" si="3"/>
        <v>50</v>
      </c>
      <c r="V74" s="47" t="str">
        <f t="shared" si="4"/>
        <v/>
      </c>
      <c r="W74" s="47" t="str">
        <f t="shared" si="5"/>
        <v/>
      </c>
      <c r="X74" s="47" t="str">
        <f t="shared" si="6"/>
        <v/>
      </c>
      <c r="Y74" s="47" t="str">
        <f t="shared" si="7"/>
        <v/>
      </c>
      <c r="Z74" s="47">
        <f t="shared" si="16"/>
        <v>50</v>
      </c>
      <c r="AA74" s="47" t="str">
        <f t="shared" si="9"/>
        <v/>
      </c>
      <c r="AB74" s="47" t="str">
        <f t="shared" si="10"/>
        <v/>
      </c>
      <c r="AC74" s="47" t="str">
        <f t="shared" si="11"/>
        <v/>
      </c>
      <c r="AD74" s="47" t="str">
        <f t="shared" si="12"/>
        <v/>
      </c>
      <c r="AE74" s="47" t="str">
        <f t="shared" si="13"/>
        <v/>
      </c>
      <c r="AF74" s="47" t="str">
        <f t="shared" si="14"/>
        <v/>
      </c>
      <c r="AG74" s="47" t="str">
        <f t="shared" si="15"/>
        <v/>
      </c>
    </row>
    <row r="75" spans="1:33" x14ac:dyDescent="0.25">
      <c r="A75" s="36">
        <v>3</v>
      </c>
      <c r="B75" s="37" t="s">
        <v>104</v>
      </c>
      <c r="C75" s="37"/>
      <c r="D75" s="37"/>
      <c r="E75" s="37"/>
      <c r="F75" s="40"/>
      <c r="G75" s="49"/>
      <c r="H75" s="40"/>
      <c r="I75" s="40"/>
      <c r="J75" s="42">
        <v>12</v>
      </c>
      <c r="K75" s="43" t="s">
        <v>46</v>
      </c>
      <c r="L75" s="43" t="s">
        <v>138</v>
      </c>
      <c r="M75" s="44">
        <v>75</v>
      </c>
      <c r="N75" s="45">
        <v>2</v>
      </c>
      <c r="O75" s="45">
        <v>900</v>
      </c>
      <c r="P75" s="45">
        <f t="shared" si="0"/>
        <v>900</v>
      </c>
      <c r="Q75" s="46"/>
      <c r="R75" s="46"/>
      <c r="S75" s="47" t="str">
        <f t="shared" si="1"/>
        <v/>
      </c>
      <c r="T75" s="47" t="str">
        <f t="shared" si="2"/>
        <v/>
      </c>
      <c r="U75" s="47">
        <f t="shared" si="3"/>
        <v>900</v>
      </c>
      <c r="V75" s="47" t="str">
        <f t="shared" si="4"/>
        <v/>
      </c>
      <c r="W75" s="47" t="str">
        <f t="shared" si="5"/>
        <v/>
      </c>
      <c r="X75" s="47" t="str">
        <f t="shared" si="6"/>
        <v/>
      </c>
      <c r="Y75" s="47" t="str">
        <f t="shared" si="7"/>
        <v/>
      </c>
      <c r="Z75" s="47" t="str">
        <f t="shared" si="16"/>
        <v/>
      </c>
      <c r="AA75" s="47">
        <f t="shared" si="9"/>
        <v>900</v>
      </c>
      <c r="AB75" s="47" t="str">
        <f t="shared" si="10"/>
        <v/>
      </c>
      <c r="AC75" s="47" t="str">
        <f t="shared" si="11"/>
        <v/>
      </c>
      <c r="AD75" s="47" t="str">
        <f t="shared" si="12"/>
        <v/>
      </c>
      <c r="AE75" s="47" t="str">
        <f t="shared" si="13"/>
        <v/>
      </c>
      <c r="AF75" s="47" t="str">
        <f t="shared" si="14"/>
        <v/>
      </c>
      <c r="AG75" s="47" t="str">
        <f t="shared" si="15"/>
        <v/>
      </c>
    </row>
    <row r="76" spans="1:33" x14ac:dyDescent="0.25">
      <c r="A76" s="36">
        <v>3</v>
      </c>
      <c r="B76" s="37" t="s">
        <v>104</v>
      </c>
      <c r="C76" s="37"/>
      <c r="D76" s="37"/>
      <c r="E76" s="37"/>
      <c r="F76" s="40"/>
      <c r="G76" s="49"/>
      <c r="H76" s="40"/>
      <c r="I76" s="40"/>
      <c r="J76" s="42">
        <v>12</v>
      </c>
      <c r="K76" s="43" t="s">
        <v>46</v>
      </c>
      <c r="L76" s="43" t="s">
        <v>139</v>
      </c>
      <c r="M76" s="44">
        <v>50</v>
      </c>
      <c r="N76" s="45">
        <v>2</v>
      </c>
      <c r="O76" s="45">
        <v>600</v>
      </c>
      <c r="P76" s="45">
        <f t="shared" si="0"/>
        <v>600</v>
      </c>
      <c r="Q76" s="46"/>
      <c r="R76" s="46"/>
      <c r="S76" s="47" t="str">
        <f t="shared" si="1"/>
        <v/>
      </c>
      <c r="T76" s="47" t="str">
        <f t="shared" si="2"/>
        <v/>
      </c>
      <c r="U76" s="47">
        <f t="shared" si="3"/>
        <v>600</v>
      </c>
      <c r="V76" s="47" t="str">
        <f t="shared" si="4"/>
        <v/>
      </c>
      <c r="W76" s="47" t="str">
        <f t="shared" si="5"/>
        <v/>
      </c>
      <c r="X76" s="47" t="str">
        <f t="shared" si="6"/>
        <v/>
      </c>
      <c r="Y76" s="47" t="str">
        <f t="shared" si="7"/>
        <v/>
      </c>
      <c r="Z76" s="47" t="str">
        <f t="shared" si="16"/>
        <v/>
      </c>
      <c r="AA76" s="47">
        <f t="shared" si="9"/>
        <v>600</v>
      </c>
      <c r="AB76" s="47" t="str">
        <f t="shared" si="10"/>
        <v/>
      </c>
      <c r="AC76" s="47" t="str">
        <f t="shared" si="11"/>
        <v/>
      </c>
      <c r="AD76" s="47" t="str">
        <f t="shared" si="12"/>
        <v/>
      </c>
      <c r="AE76" s="47" t="str">
        <f t="shared" si="13"/>
        <v/>
      </c>
      <c r="AF76" s="47" t="str">
        <f t="shared" si="14"/>
        <v/>
      </c>
      <c r="AG76" s="47" t="str">
        <f t="shared" si="15"/>
        <v/>
      </c>
    </row>
    <row r="77" spans="1:33" x14ac:dyDescent="0.25">
      <c r="A77" s="36">
        <v>3</v>
      </c>
      <c r="B77" s="37" t="s">
        <v>104</v>
      </c>
      <c r="C77" s="37"/>
      <c r="D77" s="37"/>
      <c r="E77" s="37"/>
      <c r="F77" s="40"/>
      <c r="G77" s="49"/>
      <c r="H77" s="40"/>
      <c r="I77" s="40"/>
      <c r="J77" s="42">
        <v>10</v>
      </c>
      <c r="K77" s="43" t="s">
        <v>46</v>
      </c>
      <c r="L77" s="43" t="s">
        <v>140</v>
      </c>
      <c r="M77" s="44">
        <v>65</v>
      </c>
      <c r="N77" s="45">
        <v>2</v>
      </c>
      <c r="O77" s="45">
        <v>650</v>
      </c>
      <c r="P77" s="45">
        <f t="shared" si="0"/>
        <v>650</v>
      </c>
      <c r="Q77" s="46"/>
      <c r="R77" s="46"/>
      <c r="S77" s="47" t="str">
        <f t="shared" si="1"/>
        <v/>
      </c>
      <c r="T77" s="47" t="str">
        <f t="shared" si="2"/>
        <v/>
      </c>
      <c r="U77" s="47">
        <f t="shared" si="3"/>
        <v>650</v>
      </c>
      <c r="V77" s="47" t="str">
        <f t="shared" si="4"/>
        <v/>
      </c>
      <c r="W77" s="47" t="str">
        <f t="shared" si="5"/>
        <v/>
      </c>
      <c r="X77" s="47" t="str">
        <f t="shared" si="6"/>
        <v/>
      </c>
      <c r="Y77" s="47" t="str">
        <f t="shared" si="7"/>
        <v/>
      </c>
      <c r="Z77" s="47" t="str">
        <f t="shared" si="16"/>
        <v/>
      </c>
      <c r="AA77" s="47">
        <f t="shared" si="9"/>
        <v>650</v>
      </c>
      <c r="AB77" s="47" t="str">
        <f t="shared" si="10"/>
        <v/>
      </c>
      <c r="AC77" s="47" t="str">
        <f t="shared" si="11"/>
        <v/>
      </c>
      <c r="AD77" s="47" t="str">
        <f t="shared" si="12"/>
        <v/>
      </c>
      <c r="AE77" s="47" t="str">
        <f t="shared" si="13"/>
        <v/>
      </c>
      <c r="AF77" s="47" t="str">
        <f t="shared" si="14"/>
        <v/>
      </c>
      <c r="AG77" s="47" t="str">
        <f t="shared" si="15"/>
        <v/>
      </c>
    </row>
    <row r="78" spans="1:33" x14ac:dyDescent="0.25">
      <c r="A78" s="36">
        <v>3</v>
      </c>
      <c r="B78" s="37" t="s">
        <v>104</v>
      </c>
      <c r="C78" s="37"/>
      <c r="D78" s="37"/>
      <c r="E78" s="37"/>
      <c r="F78" s="40"/>
      <c r="G78" s="49"/>
      <c r="H78" s="40"/>
      <c r="I78" s="40"/>
      <c r="J78" s="42">
        <v>10</v>
      </c>
      <c r="K78" s="43" t="s">
        <v>141</v>
      </c>
      <c r="L78" s="43" t="s">
        <v>142</v>
      </c>
      <c r="M78" s="44">
        <v>499</v>
      </c>
      <c r="N78" s="45">
        <v>2</v>
      </c>
      <c r="O78" s="45">
        <v>4990</v>
      </c>
      <c r="P78" s="45">
        <f t="shared" si="0"/>
        <v>4990</v>
      </c>
      <c r="Q78" s="46"/>
      <c r="R78" s="46"/>
      <c r="S78" s="47" t="str">
        <f t="shared" si="1"/>
        <v/>
      </c>
      <c r="T78" s="47" t="str">
        <f t="shared" si="2"/>
        <v/>
      </c>
      <c r="U78" s="47">
        <f t="shared" si="3"/>
        <v>4990</v>
      </c>
      <c r="V78" s="47" t="str">
        <f t="shared" si="4"/>
        <v/>
      </c>
      <c r="W78" s="47" t="str">
        <f t="shared" si="5"/>
        <v/>
      </c>
      <c r="X78" s="47" t="str">
        <f t="shared" si="6"/>
        <v/>
      </c>
      <c r="Y78" s="47" t="str">
        <f t="shared" si="7"/>
        <v/>
      </c>
      <c r="Z78" s="47" t="str">
        <f t="shared" si="16"/>
        <v/>
      </c>
      <c r="AA78" s="47">
        <f t="shared" si="9"/>
        <v>4990</v>
      </c>
      <c r="AB78" s="47" t="str">
        <f t="shared" si="10"/>
        <v/>
      </c>
      <c r="AC78" s="47" t="str">
        <f t="shared" si="11"/>
        <v/>
      </c>
      <c r="AD78" s="47" t="str">
        <f t="shared" si="12"/>
        <v/>
      </c>
      <c r="AE78" s="47" t="str">
        <f t="shared" si="13"/>
        <v/>
      </c>
      <c r="AF78" s="47" t="str">
        <f t="shared" si="14"/>
        <v/>
      </c>
      <c r="AG78" s="47" t="str">
        <f t="shared" si="15"/>
        <v/>
      </c>
    </row>
    <row r="79" spans="1:33" x14ac:dyDescent="0.25">
      <c r="A79" s="36">
        <v>3</v>
      </c>
      <c r="B79" s="37" t="s">
        <v>104</v>
      </c>
      <c r="C79" s="37"/>
      <c r="D79" s="37"/>
      <c r="E79" s="37"/>
      <c r="F79" s="40"/>
      <c r="G79" s="49"/>
      <c r="H79" s="40"/>
      <c r="I79" s="40"/>
      <c r="J79" s="42">
        <v>10</v>
      </c>
      <c r="K79" s="43" t="s">
        <v>71</v>
      </c>
      <c r="L79" s="43" t="s">
        <v>143</v>
      </c>
      <c r="M79" s="44">
        <v>375</v>
      </c>
      <c r="N79" s="45">
        <v>2</v>
      </c>
      <c r="O79" s="45">
        <v>3750</v>
      </c>
      <c r="P79" s="45">
        <f t="shared" si="0"/>
        <v>3750</v>
      </c>
      <c r="Q79" s="46"/>
      <c r="R79" s="46"/>
      <c r="S79" s="47" t="str">
        <f t="shared" si="1"/>
        <v/>
      </c>
      <c r="T79" s="47" t="str">
        <f t="shared" si="2"/>
        <v/>
      </c>
      <c r="U79" s="47">
        <f t="shared" si="3"/>
        <v>3750</v>
      </c>
      <c r="V79" s="47" t="str">
        <f t="shared" si="4"/>
        <v/>
      </c>
      <c r="W79" s="47" t="str">
        <f t="shared" si="5"/>
        <v/>
      </c>
      <c r="X79" s="47" t="str">
        <f t="shared" si="6"/>
        <v/>
      </c>
      <c r="Y79" s="47" t="str">
        <f t="shared" si="7"/>
        <v/>
      </c>
      <c r="Z79" s="47" t="str">
        <f t="shared" si="16"/>
        <v/>
      </c>
      <c r="AA79" s="47">
        <f t="shared" si="9"/>
        <v>3750</v>
      </c>
      <c r="AB79" s="47" t="str">
        <f t="shared" si="10"/>
        <v/>
      </c>
      <c r="AC79" s="47" t="str">
        <f t="shared" si="11"/>
        <v/>
      </c>
      <c r="AD79" s="47" t="str">
        <f t="shared" si="12"/>
        <v/>
      </c>
      <c r="AE79" s="47" t="str">
        <f t="shared" si="13"/>
        <v/>
      </c>
      <c r="AF79" s="47" t="str">
        <f t="shared" si="14"/>
        <v/>
      </c>
      <c r="AG79" s="47" t="str">
        <f t="shared" si="15"/>
        <v/>
      </c>
    </row>
    <row r="80" spans="1:33" x14ac:dyDescent="0.25">
      <c r="A80" s="36">
        <v>3</v>
      </c>
      <c r="B80" s="37" t="s">
        <v>104</v>
      </c>
      <c r="C80" s="37"/>
      <c r="D80" s="37"/>
      <c r="E80" s="37"/>
      <c r="F80" s="40"/>
      <c r="G80" s="49"/>
      <c r="H80" s="40"/>
      <c r="I80" s="40"/>
      <c r="J80" s="42">
        <v>11</v>
      </c>
      <c r="K80" s="43" t="s">
        <v>46</v>
      </c>
      <c r="L80" s="43" t="s">
        <v>144</v>
      </c>
      <c r="M80" s="44">
        <v>40</v>
      </c>
      <c r="N80" s="45">
        <v>2</v>
      </c>
      <c r="O80" s="45">
        <v>440</v>
      </c>
      <c r="P80" s="45">
        <f t="shared" si="0"/>
        <v>440</v>
      </c>
      <c r="Q80" s="46"/>
      <c r="R80" s="46"/>
      <c r="S80" s="47" t="str">
        <f t="shared" si="1"/>
        <v/>
      </c>
      <c r="T80" s="47" t="str">
        <f t="shared" si="2"/>
        <v/>
      </c>
      <c r="U80" s="47">
        <f t="shared" si="3"/>
        <v>440</v>
      </c>
      <c r="V80" s="47" t="str">
        <f t="shared" si="4"/>
        <v/>
      </c>
      <c r="W80" s="47" t="str">
        <f t="shared" si="5"/>
        <v/>
      </c>
      <c r="X80" s="47" t="str">
        <f t="shared" si="6"/>
        <v/>
      </c>
      <c r="Y80" s="47" t="str">
        <f t="shared" si="7"/>
        <v/>
      </c>
      <c r="Z80" s="47" t="str">
        <f t="shared" si="16"/>
        <v/>
      </c>
      <c r="AA80" s="47">
        <f t="shared" si="9"/>
        <v>440</v>
      </c>
      <c r="AB80" s="47" t="str">
        <f t="shared" si="10"/>
        <v/>
      </c>
      <c r="AC80" s="47" t="str">
        <f t="shared" si="11"/>
        <v/>
      </c>
      <c r="AD80" s="47" t="str">
        <f t="shared" si="12"/>
        <v/>
      </c>
      <c r="AE80" s="47" t="str">
        <f t="shared" si="13"/>
        <v/>
      </c>
      <c r="AF80" s="47" t="str">
        <f t="shared" si="14"/>
        <v/>
      </c>
      <c r="AG80" s="47" t="str">
        <f t="shared" si="15"/>
        <v/>
      </c>
    </row>
    <row r="81" spans="1:33" x14ac:dyDescent="0.25">
      <c r="A81" s="36">
        <v>3</v>
      </c>
      <c r="B81" s="37" t="s">
        <v>104</v>
      </c>
      <c r="C81" s="37"/>
      <c r="D81" s="37"/>
      <c r="E81" s="37"/>
      <c r="F81" s="40"/>
      <c r="G81" s="49"/>
      <c r="H81" s="40"/>
      <c r="I81" s="40"/>
      <c r="J81" s="42">
        <v>8</v>
      </c>
      <c r="K81" s="43" t="s">
        <v>46</v>
      </c>
      <c r="L81" s="43" t="s">
        <v>145</v>
      </c>
      <c r="M81" s="44">
        <v>80</v>
      </c>
      <c r="N81" s="45">
        <v>2</v>
      </c>
      <c r="O81" s="45">
        <v>640</v>
      </c>
      <c r="P81" s="45">
        <f t="shared" si="0"/>
        <v>640</v>
      </c>
      <c r="Q81" s="46"/>
      <c r="R81" s="46"/>
      <c r="S81" s="47" t="str">
        <f t="shared" si="1"/>
        <v/>
      </c>
      <c r="T81" s="47" t="str">
        <f t="shared" si="2"/>
        <v/>
      </c>
      <c r="U81" s="47">
        <f t="shared" si="3"/>
        <v>640</v>
      </c>
      <c r="V81" s="47" t="str">
        <f t="shared" si="4"/>
        <v/>
      </c>
      <c r="W81" s="47" t="str">
        <f t="shared" si="5"/>
        <v/>
      </c>
      <c r="X81" s="47" t="str">
        <f t="shared" si="6"/>
        <v/>
      </c>
      <c r="Y81" s="47" t="str">
        <f t="shared" si="7"/>
        <v/>
      </c>
      <c r="Z81" s="47" t="str">
        <f t="shared" si="16"/>
        <v/>
      </c>
      <c r="AA81" s="47">
        <f t="shared" si="9"/>
        <v>640</v>
      </c>
      <c r="AB81" s="47" t="str">
        <f t="shared" si="10"/>
        <v/>
      </c>
      <c r="AC81" s="47" t="str">
        <f t="shared" si="11"/>
        <v/>
      </c>
      <c r="AD81" s="47" t="str">
        <f t="shared" si="12"/>
        <v/>
      </c>
      <c r="AE81" s="47" t="str">
        <f t="shared" si="13"/>
        <v/>
      </c>
      <c r="AF81" s="47" t="str">
        <f t="shared" si="14"/>
        <v/>
      </c>
      <c r="AG81" s="47" t="str">
        <f t="shared" si="15"/>
        <v/>
      </c>
    </row>
    <row r="82" spans="1:33" x14ac:dyDescent="0.25">
      <c r="A82" s="36">
        <v>3</v>
      </c>
      <c r="B82" s="37" t="s">
        <v>104</v>
      </c>
      <c r="C82" s="37"/>
      <c r="D82" s="37"/>
      <c r="E82" s="37"/>
      <c r="F82" s="40"/>
      <c r="G82" s="49"/>
      <c r="H82" s="40"/>
      <c r="I82" s="40"/>
      <c r="J82" s="42">
        <v>64</v>
      </c>
      <c r="K82" s="43" t="s">
        <v>56</v>
      </c>
      <c r="L82" s="43" t="s">
        <v>146</v>
      </c>
      <c r="M82" s="44">
        <v>43</v>
      </c>
      <c r="N82" s="45">
        <v>3</v>
      </c>
      <c r="O82" s="45">
        <v>2752</v>
      </c>
      <c r="P82" s="45">
        <f t="shared" si="0"/>
        <v>2752</v>
      </c>
      <c r="Q82" s="46"/>
      <c r="R82" s="46"/>
      <c r="S82" s="47" t="str">
        <f t="shared" si="1"/>
        <v/>
      </c>
      <c r="T82" s="47" t="str">
        <f t="shared" si="2"/>
        <v/>
      </c>
      <c r="U82" s="47">
        <f t="shared" si="3"/>
        <v>2752</v>
      </c>
      <c r="V82" s="47" t="str">
        <f t="shared" si="4"/>
        <v/>
      </c>
      <c r="W82" s="47" t="str">
        <f t="shared" si="5"/>
        <v/>
      </c>
      <c r="X82" s="47" t="str">
        <f t="shared" si="6"/>
        <v/>
      </c>
      <c r="Y82" s="47" t="str">
        <f t="shared" si="7"/>
        <v/>
      </c>
      <c r="Z82" s="47" t="str">
        <f t="shared" si="16"/>
        <v/>
      </c>
      <c r="AA82" s="47" t="str">
        <f t="shared" si="9"/>
        <v/>
      </c>
      <c r="AB82" s="47">
        <f t="shared" si="10"/>
        <v>2752</v>
      </c>
      <c r="AC82" s="47" t="str">
        <f t="shared" si="11"/>
        <v/>
      </c>
      <c r="AD82" s="47" t="str">
        <f t="shared" si="12"/>
        <v/>
      </c>
      <c r="AE82" s="47" t="str">
        <f t="shared" si="13"/>
        <v/>
      </c>
      <c r="AF82" s="47" t="str">
        <f t="shared" si="14"/>
        <v/>
      </c>
      <c r="AG82" s="47" t="str">
        <f t="shared" si="15"/>
        <v/>
      </c>
    </row>
    <row r="83" spans="1:33" x14ac:dyDescent="0.25">
      <c r="A83" s="36">
        <v>3</v>
      </c>
      <c r="B83" s="37" t="s">
        <v>104</v>
      </c>
      <c r="C83" s="37"/>
      <c r="D83" s="37"/>
      <c r="E83" s="37"/>
      <c r="F83" s="40"/>
      <c r="G83" s="49"/>
      <c r="H83" s="40"/>
      <c r="I83" s="40"/>
      <c r="J83" s="42">
        <v>52</v>
      </c>
      <c r="K83" s="43" t="s">
        <v>46</v>
      </c>
      <c r="L83" s="43" t="s">
        <v>147</v>
      </c>
      <c r="M83" s="44">
        <v>38</v>
      </c>
      <c r="N83" s="45">
        <v>3</v>
      </c>
      <c r="O83" s="45">
        <v>1976</v>
      </c>
      <c r="P83" s="45">
        <f t="shared" si="0"/>
        <v>1976</v>
      </c>
      <c r="Q83" s="46"/>
      <c r="R83" s="46"/>
      <c r="S83" s="47" t="str">
        <f t="shared" si="1"/>
        <v/>
      </c>
      <c r="T83" s="47" t="str">
        <f t="shared" si="2"/>
        <v/>
      </c>
      <c r="U83" s="47">
        <f t="shared" si="3"/>
        <v>1976</v>
      </c>
      <c r="V83" s="47" t="str">
        <f t="shared" si="4"/>
        <v/>
      </c>
      <c r="W83" s="47" t="str">
        <f t="shared" si="5"/>
        <v/>
      </c>
      <c r="X83" s="47" t="str">
        <f t="shared" si="6"/>
        <v/>
      </c>
      <c r="Y83" s="47" t="str">
        <f t="shared" si="7"/>
        <v/>
      </c>
      <c r="Z83" s="47" t="str">
        <f t="shared" si="16"/>
        <v/>
      </c>
      <c r="AA83" s="47" t="str">
        <f t="shared" si="9"/>
        <v/>
      </c>
      <c r="AB83" s="47">
        <f t="shared" si="10"/>
        <v>1976</v>
      </c>
      <c r="AC83" s="47" t="str">
        <f t="shared" si="11"/>
        <v/>
      </c>
      <c r="AD83" s="47" t="str">
        <f t="shared" si="12"/>
        <v/>
      </c>
      <c r="AE83" s="47" t="str">
        <f t="shared" si="13"/>
        <v/>
      </c>
      <c r="AF83" s="47" t="str">
        <f t="shared" si="14"/>
        <v/>
      </c>
      <c r="AG83" s="47" t="str">
        <f t="shared" si="15"/>
        <v/>
      </c>
    </row>
    <row r="84" spans="1:33" x14ac:dyDescent="0.25">
      <c r="A84" s="36">
        <v>3</v>
      </c>
      <c r="B84" s="37" t="s">
        <v>104</v>
      </c>
      <c r="C84" s="37"/>
      <c r="D84" s="37"/>
      <c r="E84" s="37"/>
      <c r="F84" s="40"/>
      <c r="G84" s="49"/>
      <c r="H84" s="40"/>
      <c r="I84" s="40"/>
      <c r="J84" s="42">
        <v>57</v>
      </c>
      <c r="K84" s="43" t="s">
        <v>46</v>
      </c>
      <c r="L84" s="43" t="s">
        <v>148</v>
      </c>
      <c r="M84" s="44">
        <v>47</v>
      </c>
      <c r="N84" s="45">
        <v>3</v>
      </c>
      <c r="O84" s="45">
        <v>2679</v>
      </c>
      <c r="P84" s="45">
        <f t="shared" si="0"/>
        <v>2679</v>
      </c>
      <c r="Q84" s="46"/>
      <c r="R84" s="46"/>
      <c r="S84" s="47" t="str">
        <f t="shared" si="1"/>
        <v/>
      </c>
      <c r="T84" s="47" t="str">
        <f t="shared" si="2"/>
        <v/>
      </c>
      <c r="U84" s="47">
        <f t="shared" si="3"/>
        <v>2679</v>
      </c>
      <c r="V84" s="47" t="str">
        <f t="shared" si="4"/>
        <v/>
      </c>
      <c r="W84" s="47" t="str">
        <f t="shared" si="5"/>
        <v/>
      </c>
      <c r="X84" s="47" t="str">
        <f t="shared" si="6"/>
        <v/>
      </c>
      <c r="Y84" s="47" t="str">
        <f t="shared" si="7"/>
        <v/>
      </c>
      <c r="Z84" s="47" t="str">
        <f t="shared" si="16"/>
        <v/>
      </c>
      <c r="AA84" s="47" t="str">
        <f t="shared" si="9"/>
        <v/>
      </c>
      <c r="AB84" s="47">
        <f t="shared" si="10"/>
        <v>2679</v>
      </c>
      <c r="AC84" s="47" t="str">
        <f t="shared" si="11"/>
        <v/>
      </c>
      <c r="AD84" s="47" t="str">
        <f t="shared" si="12"/>
        <v/>
      </c>
      <c r="AE84" s="47" t="str">
        <f t="shared" si="13"/>
        <v/>
      </c>
      <c r="AF84" s="47" t="str">
        <f t="shared" si="14"/>
        <v/>
      </c>
      <c r="AG84" s="47" t="str">
        <f t="shared" si="15"/>
        <v/>
      </c>
    </row>
    <row r="85" spans="1:33" x14ac:dyDescent="0.25">
      <c r="A85" s="36">
        <v>3</v>
      </c>
      <c r="B85" s="37" t="s">
        <v>104</v>
      </c>
      <c r="C85" s="37"/>
      <c r="D85" s="37"/>
      <c r="E85" s="37"/>
      <c r="F85" s="40"/>
      <c r="G85" s="49"/>
      <c r="H85" s="40"/>
      <c r="I85" s="40"/>
      <c r="J85" s="42">
        <v>168</v>
      </c>
      <c r="K85" s="43" t="s">
        <v>46</v>
      </c>
      <c r="L85" s="43" t="s">
        <v>149</v>
      </c>
      <c r="M85" s="44">
        <v>15</v>
      </c>
      <c r="N85" s="45">
        <v>3</v>
      </c>
      <c r="O85" s="45">
        <v>2520</v>
      </c>
      <c r="P85" s="45">
        <f t="shared" si="0"/>
        <v>2520</v>
      </c>
      <c r="Q85" s="46"/>
      <c r="R85" s="46"/>
      <c r="S85" s="47" t="str">
        <f t="shared" si="1"/>
        <v/>
      </c>
      <c r="T85" s="47" t="str">
        <f t="shared" si="2"/>
        <v/>
      </c>
      <c r="U85" s="47">
        <f t="shared" si="3"/>
        <v>2520</v>
      </c>
      <c r="V85" s="47" t="str">
        <f t="shared" si="4"/>
        <v/>
      </c>
      <c r="W85" s="47" t="str">
        <f t="shared" si="5"/>
        <v/>
      </c>
      <c r="X85" s="47" t="str">
        <f t="shared" si="6"/>
        <v/>
      </c>
      <c r="Y85" s="47" t="str">
        <f t="shared" si="7"/>
        <v/>
      </c>
      <c r="Z85" s="47" t="str">
        <f t="shared" si="16"/>
        <v/>
      </c>
      <c r="AA85" s="47" t="str">
        <f t="shared" si="9"/>
        <v/>
      </c>
      <c r="AB85" s="47">
        <f t="shared" si="10"/>
        <v>2520</v>
      </c>
      <c r="AC85" s="47" t="str">
        <f t="shared" si="11"/>
        <v/>
      </c>
      <c r="AD85" s="47" t="str">
        <f t="shared" si="12"/>
        <v/>
      </c>
      <c r="AE85" s="47" t="str">
        <f t="shared" si="13"/>
        <v/>
      </c>
      <c r="AF85" s="47" t="str">
        <f t="shared" si="14"/>
        <v/>
      </c>
      <c r="AG85" s="47" t="str">
        <f t="shared" si="15"/>
        <v/>
      </c>
    </row>
    <row r="86" spans="1:33" x14ac:dyDescent="0.25">
      <c r="A86" s="36">
        <v>3</v>
      </c>
      <c r="B86" s="37" t="s">
        <v>104</v>
      </c>
      <c r="C86" s="37"/>
      <c r="D86" s="37"/>
      <c r="E86" s="37"/>
      <c r="F86" s="40"/>
      <c r="G86" s="49"/>
      <c r="H86" s="40"/>
      <c r="I86" s="40"/>
      <c r="J86" s="42">
        <v>64</v>
      </c>
      <c r="K86" s="43" t="s">
        <v>46</v>
      </c>
      <c r="L86" s="43" t="s">
        <v>150</v>
      </c>
      <c r="M86" s="44">
        <v>28</v>
      </c>
      <c r="N86" s="45">
        <v>3</v>
      </c>
      <c r="O86" s="45">
        <v>1792</v>
      </c>
      <c r="P86" s="45">
        <f t="shared" si="0"/>
        <v>1792</v>
      </c>
      <c r="Q86" s="46"/>
      <c r="R86" s="46"/>
      <c r="S86" s="47" t="str">
        <f t="shared" si="1"/>
        <v/>
      </c>
      <c r="T86" s="47" t="str">
        <f t="shared" si="2"/>
        <v/>
      </c>
      <c r="U86" s="47">
        <f t="shared" si="3"/>
        <v>1792</v>
      </c>
      <c r="V86" s="47" t="str">
        <f t="shared" si="4"/>
        <v/>
      </c>
      <c r="W86" s="47" t="str">
        <f t="shared" si="5"/>
        <v/>
      </c>
      <c r="X86" s="47" t="str">
        <f t="shared" si="6"/>
        <v/>
      </c>
      <c r="Y86" s="47" t="str">
        <f t="shared" si="7"/>
        <v/>
      </c>
      <c r="Z86" s="47" t="str">
        <f t="shared" si="16"/>
        <v/>
      </c>
      <c r="AA86" s="47" t="str">
        <f t="shared" si="9"/>
        <v/>
      </c>
      <c r="AB86" s="47">
        <f t="shared" si="10"/>
        <v>1792</v>
      </c>
      <c r="AC86" s="47" t="str">
        <f t="shared" si="11"/>
        <v/>
      </c>
      <c r="AD86" s="47" t="str">
        <f t="shared" si="12"/>
        <v/>
      </c>
      <c r="AE86" s="47" t="str">
        <f t="shared" si="13"/>
        <v/>
      </c>
      <c r="AF86" s="47" t="str">
        <f t="shared" si="14"/>
        <v/>
      </c>
      <c r="AG86" s="47" t="str">
        <f t="shared" si="15"/>
        <v/>
      </c>
    </row>
    <row r="87" spans="1:33" x14ac:dyDescent="0.25">
      <c r="A87" s="36">
        <v>3</v>
      </c>
      <c r="B87" s="37" t="s">
        <v>104</v>
      </c>
      <c r="C87" s="37"/>
      <c r="D87" s="37"/>
      <c r="E87" s="37"/>
      <c r="F87" s="40"/>
      <c r="G87" s="49"/>
      <c r="H87" s="40"/>
      <c r="I87" s="40"/>
      <c r="J87" s="42">
        <v>6</v>
      </c>
      <c r="K87" s="43" t="s">
        <v>46</v>
      </c>
      <c r="L87" s="43" t="s">
        <v>151</v>
      </c>
      <c r="M87" s="44">
        <v>23</v>
      </c>
      <c r="N87" s="45">
        <v>2</v>
      </c>
      <c r="O87" s="45">
        <v>138</v>
      </c>
      <c r="P87" s="45">
        <f t="shared" si="0"/>
        <v>138</v>
      </c>
      <c r="Q87" s="46"/>
      <c r="R87" s="46"/>
      <c r="S87" s="47" t="str">
        <f t="shared" si="1"/>
        <v/>
      </c>
      <c r="T87" s="47" t="str">
        <f t="shared" si="2"/>
        <v/>
      </c>
      <c r="U87" s="47">
        <f t="shared" si="3"/>
        <v>138</v>
      </c>
      <c r="V87" s="47" t="str">
        <f t="shared" si="4"/>
        <v/>
      </c>
      <c r="W87" s="47" t="str">
        <f t="shared" si="5"/>
        <v/>
      </c>
      <c r="X87" s="47" t="str">
        <f t="shared" si="6"/>
        <v/>
      </c>
      <c r="Y87" s="47" t="str">
        <f t="shared" si="7"/>
        <v/>
      </c>
      <c r="Z87" s="47" t="str">
        <f t="shared" si="16"/>
        <v/>
      </c>
      <c r="AA87" s="47">
        <f t="shared" si="9"/>
        <v>138</v>
      </c>
      <c r="AB87" s="47" t="str">
        <f t="shared" si="10"/>
        <v/>
      </c>
      <c r="AC87" s="47" t="str">
        <f t="shared" si="11"/>
        <v/>
      </c>
      <c r="AD87" s="47" t="str">
        <f t="shared" si="12"/>
        <v/>
      </c>
      <c r="AE87" s="47" t="str">
        <f t="shared" si="13"/>
        <v/>
      </c>
      <c r="AF87" s="47" t="str">
        <f t="shared" si="14"/>
        <v/>
      </c>
      <c r="AG87" s="47" t="str">
        <f t="shared" si="15"/>
        <v/>
      </c>
    </row>
    <row r="88" spans="1:33" x14ac:dyDescent="0.25">
      <c r="A88" s="36">
        <v>3</v>
      </c>
      <c r="B88" s="37" t="s">
        <v>104</v>
      </c>
      <c r="C88" s="37"/>
      <c r="D88" s="37"/>
      <c r="E88" s="37"/>
      <c r="F88" s="40"/>
      <c r="G88" s="49"/>
      <c r="H88" s="40"/>
      <c r="I88" s="40"/>
      <c r="J88" s="42">
        <v>3</v>
      </c>
      <c r="K88" s="43" t="s">
        <v>82</v>
      </c>
      <c r="L88" s="43" t="s">
        <v>152</v>
      </c>
      <c r="M88" s="44">
        <v>40</v>
      </c>
      <c r="N88" s="45">
        <v>2</v>
      </c>
      <c r="O88" s="45">
        <v>120</v>
      </c>
      <c r="P88" s="45">
        <f t="shared" si="0"/>
        <v>120</v>
      </c>
      <c r="Q88" s="46"/>
      <c r="R88" s="46"/>
      <c r="S88" s="47" t="str">
        <f t="shared" si="1"/>
        <v/>
      </c>
      <c r="T88" s="47" t="str">
        <f t="shared" si="2"/>
        <v/>
      </c>
      <c r="U88" s="47">
        <f t="shared" si="3"/>
        <v>120</v>
      </c>
      <c r="V88" s="47" t="str">
        <f t="shared" si="4"/>
        <v/>
      </c>
      <c r="W88" s="47" t="str">
        <f t="shared" si="5"/>
        <v/>
      </c>
      <c r="X88" s="47" t="str">
        <f t="shared" si="6"/>
        <v/>
      </c>
      <c r="Y88" s="47" t="str">
        <f t="shared" si="7"/>
        <v/>
      </c>
      <c r="Z88" s="47" t="str">
        <f t="shared" si="16"/>
        <v/>
      </c>
      <c r="AA88" s="47">
        <f t="shared" si="9"/>
        <v>120</v>
      </c>
      <c r="AB88" s="47" t="str">
        <f t="shared" si="10"/>
        <v/>
      </c>
      <c r="AC88" s="47" t="str">
        <f t="shared" si="11"/>
        <v/>
      </c>
      <c r="AD88" s="47" t="str">
        <f t="shared" si="12"/>
        <v/>
      </c>
      <c r="AE88" s="47" t="str">
        <f t="shared" si="13"/>
        <v/>
      </c>
      <c r="AF88" s="47" t="str">
        <f t="shared" si="14"/>
        <v/>
      </c>
      <c r="AG88" s="47" t="str">
        <f t="shared" si="15"/>
        <v/>
      </c>
    </row>
    <row r="89" spans="1:33" x14ac:dyDescent="0.25">
      <c r="A89" s="36">
        <v>3</v>
      </c>
      <c r="B89" s="37" t="s">
        <v>104</v>
      </c>
      <c r="C89" s="37"/>
      <c r="D89" s="37"/>
      <c r="E89" s="37"/>
      <c r="F89" s="40"/>
      <c r="G89" s="49"/>
      <c r="H89" s="40"/>
      <c r="I89" s="40"/>
      <c r="J89" s="42">
        <v>2</v>
      </c>
      <c r="K89" s="43" t="s">
        <v>82</v>
      </c>
      <c r="L89" s="43" t="s">
        <v>153</v>
      </c>
      <c r="M89" s="44">
        <v>35</v>
      </c>
      <c r="N89" s="45">
        <v>2</v>
      </c>
      <c r="O89" s="45">
        <v>70</v>
      </c>
      <c r="P89" s="45">
        <f t="shared" si="0"/>
        <v>70</v>
      </c>
      <c r="Q89" s="46"/>
      <c r="R89" s="46"/>
      <c r="S89" s="47" t="str">
        <f t="shared" si="1"/>
        <v/>
      </c>
      <c r="T89" s="47" t="str">
        <f t="shared" si="2"/>
        <v/>
      </c>
      <c r="U89" s="47">
        <f t="shared" si="3"/>
        <v>70</v>
      </c>
      <c r="V89" s="47" t="str">
        <f t="shared" si="4"/>
        <v/>
      </c>
      <c r="W89" s="47" t="str">
        <f t="shared" si="5"/>
        <v/>
      </c>
      <c r="X89" s="47" t="str">
        <f t="shared" si="6"/>
        <v/>
      </c>
      <c r="Y89" s="47" t="str">
        <f t="shared" si="7"/>
        <v/>
      </c>
      <c r="Z89" s="47" t="str">
        <f t="shared" si="16"/>
        <v/>
      </c>
      <c r="AA89" s="47">
        <f t="shared" si="9"/>
        <v>70</v>
      </c>
      <c r="AB89" s="47" t="str">
        <f t="shared" si="10"/>
        <v/>
      </c>
      <c r="AC89" s="47" t="str">
        <f t="shared" si="11"/>
        <v/>
      </c>
      <c r="AD89" s="47" t="str">
        <f t="shared" si="12"/>
        <v/>
      </c>
      <c r="AE89" s="47" t="str">
        <f t="shared" si="13"/>
        <v/>
      </c>
      <c r="AF89" s="47" t="str">
        <f t="shared" si="14"/>
        <v/>
      </c>
      <c r="AG89" s="47" t="str">
        <f t="shared" si="15"/>
        <v/>
      </c>
    </row>
    <row r="90" spans="1:33" x14ac:dyDescent="0.25">
      <c r="A90" s="36">
        <v>3</v>
      </c>
      <c r="B90" s="37" t="s">
        <v>104</v>
      </c>
      <c r="C90" s="37"/>
      <c r="D90" s="37"/>
      <c r="E90" s="37"/>
      <c r="F90" s="40"/>
      <c r="G90" s="49"/>
      <c r="H90" s="40"/>
      <c r="I90" s="40"/>
      <c r="J90" s="42">
        <v>22</v>
      </c>
      <c r="K90" s="43" t="s">
        <v>46</v>
      </c>
      <c r="L90" s="43" t="s">
        <v>154</v>
      </c>
      <c r="M90" s="44">
        <v>5</v>
      </c>
      <c r="N90" s="45">
        <v>2</v>
      </c>
      <c r="O90" s="45">
        <v>110</v>
      </c>
      <c r="P90" s="45">
        <f t="shared" si="0"/>
        <v>110</v>
      </c>
      <c r="Q90" s="46"/>
      <c r="R90" s="46"/>
      <c r="S90" s="47" t="str">
        <f t="shared" si="1"/>
        <v/>
      </c>
      <c r="T90" s="47" t="str">
        <f t="shared" si="2"/>
        <v/>
      </c>
      <c r="U90" s="47">
        <f t="shared" si="3"/>
        <v>110</v>
      </c>
      <c r="V90" s="47" t="str">
        <f t="shared" si="4"/>
        <v/>
      </c>
      <c r="W90" s="47" t="str">
        <f t="shared" si="5"/>
        <v/>
      </c>
      <c r="X90" s="47" t="str">
        <f t="shared" si="6"/>
        <v/>
      </c>
      <c r="Y90" s="47" t="str">
        <f t="shared" si="7"/>
        <v/>
      </c>
      <c r="Z90" s="47" t="str">
        <f t="shared" si="16"/>
        <v/>
      </c>
      <c r="AA90" s="47">
        <f t="shared" si="9"/>
        <v>110</v>
      </c>
      <c r="AB90" s="47" t="str">
        <f t="shared" si="10"/>
        <v/>
      </c>
      <c r="AC90" s="47" t="str">
        <f t="shared" si="11"/>
        <v/>
      </c>
      <c r="AD90" s="47" t="str">
        <f t="shared" si="12"/>
        <v/>
      </c>
      <c r="AE90" s="47" t="str">
        <f t="shared" si="13"/>
        <v/>
      </c>
      <c r="AF90" s="47" t="str">
        <f t="shared" si="14"/>
        <v/>
      </c>
      <c r="AG90" s="47" t="str">
        <f t="shared" si="15"/>
        <v/>
      </c>
    </row>
    <row r="91" spans="1:33" x14ac:dyDescent="0.25">
      <c r="A91" s="36">
        <v>3</v>
      </c>
      <c r="B91" s="37" t="s">
        <v>104</v>
      </c>
      <c r="C91" s="37"/>
      <c r="D91" s="37"/>
      <c r="E91" s="37"/>
      <c r="F91" s="40"/>
      <c r="G91" s="49"/>
      <c r="H91" s="40"/>
      <c r="I91" s="40"/>
      <c r="J91" s="42">
        <v>1</v>
      </c>
      <c r="K91" s="43" t="s">
        <v>46</v>
      </c>
      <c r="L91" s="43" t="s">
        <v>155</v>
      </c>
      <c r="M91" s="44">
        <v>43</v>
      </c>
      <c r="N91" s="45">
        <v>2</v>
      </c>
      <c r="O91" s="45">
        <v>43</v>
      </c>
      <c r="P91" s="45">
        <f t="shared" si="0"/>
        <v>43</v>
      </c>
      <c r="Q91" s="46"/>
      <c r="R91" s="46"/>
      <c r="S91" s="47" t="str">
        <f t="shared" si="1"/>
        <v/>
      </c>
      <c r="T91" s="47" t="str">
        <f t="shared" si="2"/>
        <v/>
      </c>
      <c r="U91" s="47">
        <f t="shared" si="3"/>
        <v>43</v>
      </c>
      <c r="V91" s="47" t="str">
        <f t="shared" si="4"/>
        <v/>
      </c>
      <c r="W91" s="47" t="str">
        <f t="shared" si="5"/>
        <v/>
      </c>
      <c r="X91" s="47" t="str">
        <f t="shared" si="6"/>
        <v/>
      </c>
      <c r="Y91" s="47" t="str">
        <f t="shared" si="7"/>
        <v/>
      </c>
      <c r="Z91" s="47" t="str">
        <f t="shared" si="16"/>
        <v/>
      </c>
      <c r="AA91" s="47">
        <f t="shared" si="9"/>
        <v>43</v>
      </c>
      <c r="AB91" s="47" t="str">
        <f t="shared" si="10"/>
        <v/>
      </c>
      <c r="AC91" s="47" t="str">
        <f t="shared" si="11"/>
        <v/>
      </c>
      <c r="AD91" s="47" t="str">
        <f t="shared" si="12"/>
        <v/>
      </c>
      <c r="AE91" s="47" t="str">
        <f t="shared" si="13"/>
        <v/>
      </c>
      <c r="AF91" s="47" t="str">
        <f t="shared" si="14"/>
        <v/>
      </c>
      <c r="AG91" s="47" t="str">
        <f t="shared" si="15"/>
        <v/>
      </c>
    </row>
    <row r="92" spans="1:33" x14ac:dyDescent="0.25">
      <c r="A92" s="36">
        <v>3</v>
      </c>
      <c r="B92" s="37" t="s">
        <v>104</v>
      </c>
      <c r="C92" s="37"/>
      <c r="D92" s="37"/>
      <c r="E92" s="37"/>
      <c r="F92" s="40"/>
      <c r="G92" s="49"/>
      <c r="H92" s="40"/>
      <c r="I92" s="40"/>
      <c r="J92" s="42">
        <v>2</v>
      </c>
      <c r="K92" s="43" t="s">
        <v>46</v>
      </c>
      <c r="L92" s="43" t="s">
        <v>156</v>
      </c>
      <c r="M92" s="44">
        <v>19</v>
      </c>
      <c r="N92" s="45">
        <v>2</v>
      </c>
      <c r="O92" s="45">
        <v>38</v>
      </c>
      <c r="P92" s="45">
        <f t="shared" si="0"/>
        <v>38</v>
      </c>
      <c r="Q92" s="46"/>
      <c r="R92" s="46"/>
      <c r="S92" s="47" t="str">
        <f t="shared" si="1"/>
        <v/>
      </c>
      <c r="T92" s="47" t="str">
        <f t="shared" si="2"/>
        <v/>
      </c>
      <c r="U92" s="47">
        <f t="shared" si="3"/>
        <v>38</v>
      </c>
      <c r="V92" s="47" t="str">
        <f t="shared" si="4"/>
        <v/>
      </c>
      <c r="W92" s="47" t="str">
        <f t="shared" si="5"/>
        <v/>
      </c>
      <c r="X92" s="47" t="str">
        <f t="shared" si="6"/>
        <v/>
      </c>
      <c r="Y92" s="47" t="str">
        <f t="shared" si="7"/>
        <v/>
      </c>
      <c r="Z92" s="47" t="str">
        <f t="shared" si="16"/>
        <v/>
      </c>
      <c r="AA92" s="47">
        <f t="shared" si="9"/>
        <v>38</v>
      </c>
      <c r="AB92" s="47" t="str">
        <f t="shared" si="10"/>
        <v/>
      </c>
      <c r="AC92" s="47" t="str">
        <f t="shared" si="11"/>
        <v/>
      </c>
      <c r="AD92" s="47" t="str">
        <f t="shared" si="12"/>
        <v/>
      </c>
      <c r="AE92" s="47" t="str">
        <f t="shared" si="13"/>
        <v/>
      </c>
      <c r="AF92" s="47" t="str">
        <f t="shared" si="14"/>
        <v/>
      </c>
      <c r="AG92" s="47" t="str">
        <f t="shared" si="15"/>
        <v/>
      </c>
    </row>
    <row r="93" spans="1:33" x14ac:dyDescent="0.25">
      <c r="A93" s="36">
        <v>3</v>
      </c>
      <c r="B93" s="37" t="s">
        <v>104</v>
      </c>
      <c r="C93" s="37"/>
      <c r="D93" s="37"/>
      <c r="E93" s="37"/>
      <c r="F93" s="40"/>
      <c r="G93" s="49"/>
      <c r="H93" s="40"/>
      <c r="I93" s="40"/>
      <c r="J93" s="42">
        <v>120</v>
      </c>
      <c r="K93" s="43" t="s">
        <v>46</v>
      </c>
      <c r="L93" s="43" t="s">
        <v>157</v>
      </c>
      <c r="M93" s="44">
        <v>80</v>
      </c>
      <c r="N93" s="45">
        <v>2</v>
      </c>
      <c r="O93" s="45">
        <v>9600</v>
      </c>
      <c r="P93" s="45">
        <f t="shared" si="0"/>
        <v>9600</v>
      </c>
      <c r="Q93" s="46"/>
      <c r="R93" s="46"/>
      <c r="S93" s="47" t="str">
        <f t="shared" si="1"/>
        <v/>
      </c>
      <c r="T93" s="47" t="str">
        <f t="shared" si="2"/>
        <v/>
      </c>
      <c r="U93" s="47">
        <f t="shared" si="3"/>
        <v>9600</v>
      </c>
      <c r="V93" s="47" t="str">
        <f t="shared" si="4"/>
        <v/>
      </c>
      <c r="W93" s="47" t="str">
        <f t="shared" si="5"/>
        <v/>
      </c>
      <c r="X93" s="47" t="str">
        <f t="shared" si="6"/>
        <v/>
      </c>
      <c r="Y93" s="47" t="str">
        <f t="shared" si="7"/>
        <v/>
      </c>
      <c r="Z93" s="47" t="str">
        <f t="shared" si="16"/>
        <v/>
      </c>
      <c r="AA93" s="47">
        <f t="shared" si="9"/>
        <v>9600</v>
      </c>
      <c r="AB93" s="47" t="str">
        <f t="shared" si="10"/>
        <v/>
      </c>
      <c r="AC93" s="47" t="str">
        <f t="shared" si="11"/>
        <v/>
      </c>
      <c r="AD93" s="47" t="str">
        <f t="shared" si="12"/>
        <v/>
      </c>
      <c r="AE93" s="47" t="str">
        <f t="shared" si="13"/>
        <v/>
      </c>
      <c r="AF93" s="47" t="str">
        <f t="shared" si="14"/>
        <v/>
      </c>
      <c r="AG93" s="47" t="str">
        <f t="shared" si="15"/>
        <v/>
      </c>
    </row>
    <row r="94" spans="1:33" x14ac:dyDescent="0.25">
      <c r="A94" s="36">
        <v>3</v>
      </c>
      <c r="B94" s="37" t="s">
        <v>104</v>
      </c>
      <c r="C94" s="37"/>
      <c r="D94" s="37"/>
      <c r="E94" s="37"/>
      <c r="F94" s="40"/>
      <c r="G94" s="49"/>
      <c r="H94" s="40"/>
      <c r="I94" s="40"/>
      <c r="J94" s="42">
        <v>3</v>
      </c>
      <c r="K94" s="43" t="s">
        <v>46</v>
      </c>
      <c r="L94" s="43" t="s">
        <v>158</v>
      </c>
      <c r="M94" s="44">
        <v>18</v>
      </c>
      <c r="N94" s="45">
        <v>2</v>
      </c>
      <c r="O94" s="45">
        <v>54</v>
      </c>
      <c r="P94" s="45">
        <f t="shared" si="0"/>
        <v>54</v>
      </c>
      <c r="Q94" s="46"/>
      <c r="R94" s="46"/>
      <c r="S94" s="47" t="str">
        <f t="shared" si="1"/>
        <v/>
      </c>
      <c r="T94" s="47" t="str">
        <f t="shared" si="2"/>
        <v/>
      </c>
      <c r="U94" s="47">
        <f t="shared" si="3"/>
        <v>54</v>
      </c>
      <c r="V94" s="47" t="str">
        <f t="shared" si="4"/>
        <v/>
      </c>
      <c r="W94" s="47" t="str">
        <f t="shared" si="5"/>
        <v/>
      </c>
      <c r="X94" s="47" t="str">
        <f t="shared" si="6"/>
        <v/>
      </c>
      <c r="Y94" s="47" t="str">
        <f t="shared" si="7"/>
        <v/>
      </c>
      <c r="Z94" s="47" t="str">
        <f t="shared" si="16"/>
        <v/>
      </c>
      <c r="AA94" s="47">
        <f t="shared" si="9"/>
        <v>54</v>
      </c>
      <c r="AB94" s="47" t="str">
        <f t="shared" si="10"/>
        <v/>
      </c>
      <c r="AC94" s="47" t="str">
        <f t="shared" si="11"/>
        <v/>
      </c>
      <c r="AD94" s="47" t="str">
        <f t="shared" si="12"/>
        <v/>
      </c>
      <c r="AE94" s="47" t="str">
        <f t="shared" si="13"/>
        <v/>
      </c>
      <c r="AF94" s="47" t="str">
        <f t="shared" si="14"/>
        <v/>
      </c>
      <c r="AG94" s="47" t="str">
        <f t="shared" si="15"/>
        <v/>
      </c>
    </row>
    <row r="95" spans="1:33" x14ac:dyDescent="0.25">
      <c r="A95" s="36">
        <v>3</v>
      </c>
      <c r="B95" s="37" t="s">
        <v>159</v>
      </c>
      <c r="C95" s="38">
        <v>8129034288</v>
      </c>
      <c r="D95" s="37"/>
      <c r="E95" s="37"/>
      <c r="F95" s="40"/>
      <c r="G95" s="51">
        <v>45664</v>
      </c>
      <c r="H95" s="40"/>
      <c r="I95" s="40"/>
      <c r="J95" s="42">
        <v>15</v>
      </c>
      <c r="K95" s="43" t="s">
        <v>46</v>
      </c>
      <c r="L95" s="43" t="s">
        <v>160</v>
      </c>
      <c r="M95" s="44">
        <v>80</v>
      </c>
      <c r="N95" s="45">
        <v>1</v>
      </c>
      <c r="O95" s="45">
        <v>1200</v>
      </c>
      <c r="P95" s="45">
        <f t="shared" si="0"/>
        <v>1200</v>
      </c>
      <c r="Q95" s="46"/>
      <c r="R95" s="46"/>
      <c r="S95" s="47" t="str">
        <f t="shared" si="1"/>
        <v/>
      </c>
      <c r="T95" s="47" t="str">
        <f t="shared" si="2"/>
        <v/>
      </c>
      <c r="U95" s="47">
        <f t="shared" si="3"/>
        <v>1200</v>
      </c>
      <c r="V95" s="47" t="str">
        <f t="shared" si="4"/>
        <v/>
      </c>
      <c r="W95" s="47" t="str">
        <f t="shared" si="5"/>
        <v/>
      </c>
      <c r="X95" s="47" t="str">
        <f t="shared" si="6"/>
        <v/>
      </c>
      <c r="Y95" s="47" t="str">
        <f t="shared" si="7"/>
        <v/>
      </c>
      <c r="Z95" s="47">
        <f t="shared" si="16"/>
        <v>1200</v>
      </c>
      <c r="AA95" s="47" t="str">
        <f t="shared" si="9"/>
        <v/>
      </c>
      <c r="AB95" s="47" t="str">
        <f t="shared" si="10"/>
        <v/>
      </c>
      <c r="AC95" s="47" t="str">
        <f t="shared" si="11"/>
        <v/>
      </c>
      <c r="AD95" s="47" t="str">
        <f t="shared" si="12"/>
        <v/>
      </c>
      <c r="AE95" s="47" t="str">
        <f t="shared" si="13"/>
        <v/>
      </c>
      <c r="AF95" s="47" t="str">
        <f t="shared" si="14"/>
        <v/>
      </c>
      <c r="AG95" s="47" t="str">
        <f t="shared" si="15"/>
        <v/>
      </c>
    </row>
    <row r="96" spans="1:33" x14ac:dyDescent="0.25">
      <c r="A96" s="36">
        <v>3</v>
      </c>
      <c r="B96" s="37" t="s">
        <v>161</v>
      </c>
      <c r="C96" s="38">
        <v>8111190301</v>
      </c>
      <c r="D96" s="37"/>
      <c r="E96" s="37"/>
      <c r="F96" s="40"/>
      <c r="G96" s="51">
        <v>45664</v>
      </c>
      <c r="H96" s="40"/>
      <c r="I96" s="40"/>
      <c r="J96" s="42">
        <v>10</v>
      </c>
      <c r="K96" s="43" t="s">
        <v>60</v>
      </c>
      <c r="L96" s="43" t="s">
        <v>162</v>
      </c>
      <c r="M96" s="44">
        <v>112</v>
      </c>
      <c r="N96" s="45">
        <v>1</v>
      </c>
      <c r="O96" s="45">
        <v>1120</v>
      </c>
      <c r="P96" s="45">
        <f t="shared" si="0"/>
        <v>1120</v>
      </c>
      <c r="Q96" s="46"/>
      <c r="R96" s="46"/>
      <c r="S96" s="47" t="str">
        <f t="shared" si="1"/>
        <v/>
      </c>
      <c r="T96" s="47" t="str">
        <f t="shared" si="2"/>
        <v/>
      </c>
      <c r="U96" s="47">
        <f t="shared" si="3"/>
        <v>1120</v>
      </c>
      <c r="V96" s="47" t="str">
        <f t="shared" si="4"/>
        <v/>
      </c>
      <c r="W96" s="47" t="str">
        <f t="shared" si="5"/>
        <v/>
      </c>
      <c r="X96" s="47" t="str">
        <f t="shared" si="6"/>
        <v/>
      </c>
      <c r="Y96" s="47" t="str">
        <f t="shared" si="7"/>
        <v/>
      </c>
      <c r="Z96" s="47">
        <f t="shared" si="16"/>
        <v>1120</v>
      </c>
      <c r="AA96" s="47" t="str">
        <f t="shared" si="9"/>
        <v/>
      </c>
      <c r="AB96" s="47" t="str">
        <f t="shared" si="10"/>
        <v/>
      </c>
      <c r="AC96" s="47" t="str">
        <f t="shared" si="11"/>
        <v/>
      </c>
      <c r="AD96" s="47" t="str">
        <f t="shared" si="12"/>
        <v/>
      </c>
      <c r="AE96" s="47" t="str">
        <f t="shared" si="13"/>
        <v/>
      </c>
      <c r="AF96" s="47" t="str">
        <f t="shared" si="14"/>
        <v/>
      </c>
      <c r="AG96" s="47" t="str">
        <f t="shared" si="15"/>
        <v/>
      </c>
    </row>
    <row r="97" spans="1:33" x14ac:dyDescent="0.25">
      <c r="A97" s="36">
        <v>3</v>
      </c>
      <c r="B97" s="37" t="s">
        <v>163</v>
      </c>
      <c r="C97" s="38">
        <v>8126227140</v>
      </c>
      <c r="D97" s="37"/>
      <c r="E97" s="37"/>
      <c r="F97" s="40"/>
      <c r="G97" s="51">
        <v>45664</v>
      </c>
      <c r="H97" s="40"/>
      <c r="I97" s="40"/>
      <c r="J97" s="42">
        <v>1</v>
      </c>
      <c r="K97" s="43" t="s">
        <v>52</v>
      </c>
      <c r="L97" s="43" t="s">
        <v>53</v>
      </c>
      <c r="M97" s="44">
        <v>150</v>
      </c>
      <c r="N97" s="45">
        <v>1</v>
      </c>
      <c r="O97" s="45">
        <v>150</v>
      </c>
      <c r="P97" s="45">
        <f t="shared" si="0"/>
        <v>150</v>
      </c>
      <c r="Q97" s="46"/>
      <c r="R97" s="46"/>
      <c r="S97" s="47" t="str">
        <f t="shared" si="1"/>
        <v/>
      </c>
      <c r="T97" s="47" t="str">
        <f t="shared" si="2"/>
        <v/>
      </c>
      <c r="U97" s="47">
        <f t="shared" si="3"/>
        <v>150</v>
      </c>
      <c r="V97" s="47" t="str">
        <f t="shared" si="4"/>
        <v/>
      </c>
      <c r="W97" s="47" t="str">
        <f t="shared" si="5"/>
        <v/>
      </c>
      <c r="X97" s="47" t="str">
        <f t="shared" si="6"/>
        <v/>
      </c>
      <c r="Y97" s="47" t="str">
        <f t="shared" si="7"/>
        <v/>
      </c>
      <c r="Z97" s="47">
        <f t="shared" si="16"/>
        <v>150</v>
      </c>
      <c r="AA97" s="47" t="str">
        <f t="shared" si="9"/>
        <v/>
      </c>
      <c r="AB97" s="47" t="str">
        <f t="shared" si="10"/>
        <v/>
      </c>
      <c r="AC97" s="47" t="str">
        <f t="shared" si="11"/>
        <v/>
      </c>
      <c r="AD97" s="47" t="str">
        <f t="shared" si="12"/>
        <v/>
      </c>
      <c r="AE97" s="47" t="str">
        <f t="shared" si="13"/>
        <v/>
      </c>
      <c r="AF97" s="47" t="str">
        <f t="shared" si="14"/>
        <v/>
      </c>
      <c r="AG97" s="47" t="str">
        <f t="shared" si="15"/>
        <v/>
      </c>
    </row>
    <row r="98" spans="1:33" x14ac:dyDescent="0.25">
      <c r="A98" s="36">
        <v>3</v>
      </c>
      <c r="B98" s="37" t="s">
        <v>163</v>
      </c>
      <c r="C98" s="37"/>
      <c r="D98" s="37"/>
      <c r="E98" s="37"/>
      <c r="F98" s="40"/>
      <c r="G98" s="52"/>
      <c r="H98" s="40"/>
      <c r="I98" s="40"/>
      <c r="J98" s="42">
        <v>1</v>
      </c>
      <c r="K98" s="43" t="s">
        <v>54</v>
      </c>
      <c r="L98" s="43" t="s">
        <v>55</v>
      </c>
      <c r="M98" s="44">
        <v>200</v>
      </c>
      <c r="N98" s="45">
        <v>1</v>
      </c>
      <c r="O98" s="45">
        <v>200</v>
      </c>
      <c r="P98" s="45">
        <f t="shared" si="0"/>
        <v>200</v>
      </c>
      <c r="Q98" s="46"/>
      <c r="R98" s="46"/>
      <c r="S98" s="47" t="str">
        <f t="shared" si="1"/>
        <v/>
      </c>
      <c r="T98" s="47" t="str">
        <f t="shared" si="2"/>
        <v/>
      </c>
      <c r="U98" s="47">
        <f t="shared" si="3"/>
        <v>200</v>
      </c>
      <c r="V98" s="47" t="str">
        <f t="shared" si="4"/>
        <v/>
      </c>
      <c r="W98" s="47" t="str">
        <f t="shared" si="5"/>
        <v/>
      </c>
      <c r="X98" s="47" t="str">
        <f t="shared" si="6"/>
        <v/>
      </c>
      <c r="Y98" s="47" t="str">
        <f t="shared" si="7"/>
        <v/>
      </c>
      <c r="Z98" s="47">
        <f t="shared" si="16"/>
        <v>200</v>
      </c>
      <c r="AA98" s="47" t="str">
        <f t="shared" si="9"/>
        <v/>
      </c>
      <c r="AB98" s="47" t="str">
        <f t="shared" si="10"/>
        <v/>
      </c>
      <c r="AC98" s="47" t="str">
        <f t="shared" si="11"/>
        <v/>
      </c>
      <c r="AD98" s="47" t="str">
        <f t="shared" si="12"/>
        <v/>
      </c>
      <c r="AE98" s="47" t="str">
        <f t="shared" si="13"/>
        <v/>
      </c>
      <c r="AF98" s="47" t="str">
        <f t="shared" si="14"/>
        <v/>
      </c>
      <c r="AG98" s="47" t="str">
        <f t="shared" si="15"/>
        <v/>
      </c>
    </row>
    <row r="99" spans="1:33" x14ac:dyDescent="0.25">
      <c r="A99" s="36">
        <v>3</v>
      </c>
      <c r="B99" s="37" t="s">
        <v>164</v>
      </c>
      <c r="C99" s="38">
        <v>8122852815</v>
      </c>
      <c r="D99" s="37"/>
      <c r="E99" s="37"/>
      <c r="F99" s="40"/>
      <c r="G99" s="51">
        <v>45665</v>
      </c>
      <c r="H99" s="40"/>
      <c r="I99" s="40"/>
      <c r="J99" s="42">
        <v>30</v>
      </c>
      <c r="K99" s="43" t="s">
        <v>60</v>
      </c>
      <c r="L99" s="43" t="s">
        <v>165</v>
      </c>
      <c r="M99" s="44">
        <v>20</v>
      </c>
      <c r="N99" s="45">
        <v>1</v>
      </c>
      <c r="O99" s="45">
        <v>600</v>
      </c>
      <c r="P99" s="45">
        <f t="shared" si="0"/>
        <v>600</v>
      </c>
      <c r="Q99" s="46"/>
      <c r="R99" s="46"/>
      <c r="S99" s="47" t="str">
        <f t="shared" si="1"/>
        <v/>
      </c>
      <c r="T99" s="47" t="str">
        <f t="shared" si="2"/>
        <v/>
      </c>
      <c r="U99" s="47">
        <f t="shared" si="3"/>
        <v>600</v>
      </c>
      <c r="V99" s="47" t="str">
        <f t="shared" si="4"/>
        <v/>
      </c>
      <c r="W99" s="47" t="str">
        <f t="shared" si="5"/>
        <v/>
      </c>
      <c r="X99" s="47" t="str">
        <f t="shared" si="6"/>
        <v/>
      </c>
      <c r="Y99" s="47" t="str">
        <f t="shared" si="7"/>
        <v/>
      </c>
      <c r="Z99" s="47">
        <f t="shared" si="16"/>
        <v>600</v>
      </c>
      <c r="AA99" s="47" t="str">
        <f t="shared" si="9"/>
        <v/>
      </c>
      <c r="AB99" s="47" t="str">
        <f t="shared" si="10"/>
        <v/>
      </c>
      <c r="AC99" s="47" t="str">
        <f t="shared" si="11"/>
        <v/>
      </c>
      <c r="AD99" s="47" t="str">
        <f t="shared" si="12"/>
        <v/>
      </c>
      <c r="AE99" s="47" t="str">
        <f t="shared" si="13"/>
        <v/>
      </c>
      <c r="AF99" s="47" t="str">
        <f t="shared" si="14"/>
        <v/>
      </c>
      <c r="AG99" s="47" t="str">
        <f t="shared" si="15"/>
        <v/>
      </c>
    </row>
    <row r="100" spans="1:33" x14ac:dyDescent="0.25">
      <c r="A100" s="36">
        <v>3</v>
      </c>
      <c r="B100" s="37" t="s">
        <v>164</v>
      </c>
      <c r="C100" s="37"/>
      <c r="D100" s="37"/>
      <c r="E100" s="37"/>
      <c r="F100" s="40"/>
      <c r="G100" s="49"/>
      <c r="H100" s="40"/>
      <c r="I100" s="40"/>
      <c r="J100" s="42">
        <v>2</v>
      </c>
      <c r="K100" s="43" t="s">
        <v>82</v>
      </c>
      <c r="L100" s="43" t="s">
        <v>166</v>
      </c>
      <c r="M100" s="44">
        <v>20</v>
      </c>
      <c r="N100" s="45">
        <v>1</v>
      </c>
      <c r="O100" s="45">
        <v>40</v>
      </c>
      <c r="P100" s="45">
        <f t="shared" si="0"/>
        <v>40</v>
      </c>
      <c r="Q100" s="46"/>
      <c r="R100" s="46"/>
      <c r="S100" s="47" t="str">
        <f t="shared" si="1"/>
        <v/>
      </c>
      <c r="T100" s="47" t="str">
        <f t="shared" si="2"/>
        <v/>
      </c>
      <c r="U100" s="47">
        <f t="shared" si="3"/>
        <v>40</v>
      </c>
      <c r="V100" s="47" t="str">
        <f t="shared" si="4"/>
        <v/>
      </c>
      <c r="W100" s="47" t="str">
        <f t="shared" si="5"/>
        <v/>
      </c>
      <c r="X100" s="47" t="str">
        <f t="shared" si="6"/>
        <v/>
      </c>
      <c r="Y100" s="47" t="str">
        <f t="shared" si="7"/>
        <v/>
      </c>
      <c r="Z100" s="47">
        <f t="shared" si="16"/>
        <v>40</v>
      </c>
      <c r="AA100" s="47" t="str">
        <f t="shared" si="9"/>
        <v/>
      </c>
      <c r="AB100" s="47" t="str">
        <f t="shared" si="10"/>
        <v/>
      </c>
      <c r="AC100" s="47" t="str">
        <f t="shared" si="11"/>
        <v/>
      </c>
      <c r="AD100" s="47" t="str">
        <f t="shared" si="12"/>
        <v/>
      </c>
      <c r="AE100" s="47" t="str">
        <f t="shared" si="13"/>
        <v/>
      </c>
      <c r="AF100" s="47" t="str">
        <f t="shared" si="14"/>
        <v/>
      </c>
      <c r="AG100" s="47" t="str">
        <f t="shared" si="15"/>
        <v/>
      </c>
    </row>
    <row r="101" spans="1:33" x14ac:dyDescent="0.25">
      <c r="A101" s="36">
        <v>2</v>
      </c>
      <c r="B101" s="54" t="s">
        <v>92</v>
      </c>
      <c r="C101" s="55">
        <v>8181850101</v>
      </c>
      <c r="D101" s="54"/>
      <c r="E101" s="54"/>
      <c r="F101" s="54"/>
      <c r="G101" s="56">
        <v>45666</v>
      </c>
      <c r="H101" s="54"/>
      <c r="I101" s="54"/>
      <c r="J101" s="57">
        <v>19</v>
      </c>
      <c r="K101" s="54" t="s">
        <v>60</v>
      </c>
      <c r="L101" s="54" t="s">
        <v>167</v>
      </c>
      <c r="M101" s="58">
        <v>39</v>
      </c>
      <c r="N101" s="59">
        <v>1</v>
      </c>
      <c r="O101" s="59">
        <v>741</v>
      </c>
      <c r="P101" s="59">
        <f t="shared" si="0"/>
        <v>741</v>
      </c>
      <c r="Q101" s="54"/>
      <c r="R101" s="54"/>
      <c r="S101" s="60" t="str">
        <f t="shared" si="1"/>
        <v/>
      </c>
      <c r="T101" s="60">
        <f t="shared" si="2"/>
        <v>741</v>
      </c>
      <c r="U101" s="60" t="str">
        <f t="shared" si="3"/>
        <v/>
      </c>
      <c r="V101" s="60" t="str">
        <f t="shared" si="4"/>
        <v/>
      </c>
      <c r="W101" s="60" t="str">
        <f t="shared" si="5"/>
        <v/>
      </c>
      <c r="X101" s="60" t="str">
        <f t="shared" si="6"/>
        <v/>
      </c>
      <c r="Y101" s="60" t="str">
        <f t="shared" si="7"/>
        <v/>
      </c>
      <c r="Z101" s="60"/>
      <c r="AA101" s="60" t="str">
        <f t="shared" si="9"/>
        <v/>
      </c>
      <c r="AB101" s="60" t="str">
        <f t="shared" si="10"/>
        <v/>
      </c>
      <c r="AC101" s="60" t="str">
        <f t="shared" si="11"/>
        <v/>
      </c>
      <c r="AD101" s="60" t="str">
        <f t="shared" si="12"/>
        <v/>
      </c>
      <c r="AE101" s="60" t="str">
        <f t="shared" si="13"/>
        <v/>
      </c>
      <c r="AF101" s="60" t="str">
        <f t="shared" si="14"/>
        <v/>
      </c>
      <c r="AG101" s="60" t="str">
        <f t="shared" si="15"/>
        <v/>
      </c>
    </row>
    <row r="102" spans="1:33" x14ac:dyDescent="0.25">
      <c r="A102" s="36">
        <v>2</v>
      </c>
      <c r="B102" s="54" t="s">
        <v>92</v>
      </c>
      <c r="C102" s="54"/>
      <c r="D102" s="54"/>
      <c r="E102" s="54"/>
      <c r="F102" s="54"/>
      <c r="G102" s="61"/>
      <c r="H102" s="54"/>
      <c r="I102" s="54"/>
      <c r="J102" s="57">
        <v>2</v>
      </c>
      <c r="K102" s="54" t="s">
        <v>60</v>
      </c>
      <c r="L102" s="54" t="s">
        <v>95</v>
      </c>
      <c r="M102" s="58">
        <v>53.5</v>
      </c>
      <c r="N102" s="59">
        <v>1</v>
      </c>
      <c r="O102" s="59">
        <v>107</v>
      </c>
      <c r="P102" s="59">
        <f t="shared" si="0"/>
        <v>107</v>
      </c>
      <c r="Q102" s="54"/>
      <c r="R102" s="54"/>
      <c r="S102" s="60" t="str">
        <f t="shared" si="1"/>
        <v/>
      </c>
      <c r="T102" s="60">
        <f t="shared" si="2"/>
        <v>107</v>
      </c>
      <c r="U102" s="60" t="str">
        <f t="shared" si="3"/>
        <v/>
      </c>
      <c r="V102" s="60" t="str">
        <f t="shared" si="4"/>
        <v/>
      </c>
      <c r="W102" s="60" t="str">
        <f t="shared" si="5"/>
        <v/>
      </c>
      <c r="X102" s="60" t="str">
        <f t="shared" si="6"/>
        <v/>
      </c>
      <c r="Y102" s="60" t="str">
        <f t="shared" si="7"/>
        <v/>
      </c>
      <c r="Z102" s="60"/>
      <c r="AA102" s="60" t="str">
        <f t="shared" si="9"/>
        <v/>
      </c>
      <c r="AB102" s="60" t="str">
        <f t="shared" si="10"/>
        <v/>
      </c>
      <c r="AC102" s="60" t="str">
        <f t="shared" si="11"/>
        <v/>
      </c>
      <c r="AD102" s="60" t="str">
        <f t="shared" si="12"/>
        <v/>
      </c>
      <c r="AE102" s="60" t="str">
        <f t="shared" si="13"/>
        <v/>
      </c>
      <c r="AF102" s="60" t="str">
        <f t="shared" si="14"/>
        <v/>
      </c>
      <c r="AG102" s="60" t="str">
        <f t="shared" si="15"/>
        <v/>
      </c>
    </row>
    <row r="103" spans="1:33" x14ac:dyDescent="0.25">
      <c r="A103" s="36">
        <v>4</v>
      </c>
      <c r="B103" s="37" t="s">
        <v>168</v>
      </c>
      <c r="C103" s="38">
        <v>8441401108</v>
      </c>
      <c r="D103" s="37"/>
      <c r="E103" s="37"/>
      <c r="F103" s="40"/>
      <c r="G103" s="51">
        <v>45667</v>
      </c>
      <c r="H103" s="40"/>
      <c r="I103" s="40"/>
      <c r="J103" s="42">
        <v>1</v>
      </c>
      <c r="K103" s="43" t="s">
        <v>60</v>
      </c>
      <c r="L103" s="43" t="s">
        <v>169</v>
      </c>
      <c r="M103" s="44">
        <v>87</v>
      </c>
      <c r="N103" s="45">
        <v>1</v>
      </c>
      <c r="O103" s="45">
        <v>87</v>
      </c>
      <c r="P103" s="45">
        <f t="shared" si="0"/>
        <v>87</v>
      </c>
      <c r="Q103" s="46"/>
      <c r="R103" s="46"/>
      <c r="S103" s="47" t="str">
        <f t="shared" si="1"/>
        <v/>
      </c>
      <c r="T103" s="47" t="str">
        <f t="shared" si="2"/>
        <v/>
      </c>
      <c r="U103" s="47" t="str">
        <f t="shared" si="3"/>
        <v/>
      </c>
      <c r="V103" s="47">
        <f t="shared" si="4"/>
        <v>87</v>
      </c>
      <c r="W103" s="47" t="str">
        <f t="shared" si="5"/>
        <v/>
      </c>
      <c r="X103" s="47" t="str">
        <f t="shared" si="6"/>
        <v/>
      </c>
      <c r="Y103" s="47" t="str">
        <f t="shared" si="7"/>
        <v/>
      </c>
      <c r="Z103" s="47">
        <f t="shared" ref="Z103:Z122" si="17">IF($N103=1,$P103,"")</f>
        <v>87</v>
      </c>
      <c r="AA103" s="47" t="str">
        <f t="shared" si="9"/>
        <v/>
      </c>
      <c r="AB103" s="47" t="str">
        <f t="shared" si="10"/>
        <v/>
      </c>
      <c r="AC103" s="47" t="str">
        <f t="shared" si="11"/>
        <v/>
      </c>
      <c r="AD103" s="47" t="str">
        <f t="shared" si="12"/>
        <v/>
      </c>
      <c r="AE103" s="47" t="str">
        <f t="shared" si="13"/>
        <v/>
      </c>
      <c r="AF103" s="47" t="str">
        <f t="shared" si="14"/>
        <v/>
      </c>
      <c r="AG103" s="47" t="str">
        <f t="shared" si="15"/>
        <v/>
      </c>
    </row>
    <row r="104" spans="1:33" x14ac:dyDescent="0.25">
      <c r="A104" s="36">
        <v>4</v>
      </c>
      <c r="B104" s="37" t="s">
        <v>168</v>
      </c>
      <c r="C104" s="37"/>
      <c r="D104" s="37"/>
      <c r="E104" s="37"/>
      <c r="F104" s="40"/>
      <c r="G104" s="49"/>
      <c r="H104" s="40"/>
      <c r="I104" s="40"/>
      <c r="J104" s="42">
        <v>1</v>
      </c>
      <c r="K104" s="43" t="s">
        <v>60</v>
      </c>
      <c r="L104" s="43" t="s">
        <v>170</v>
      </c>
      <c r="M104" s="44">
        <v>115</v>
      </c>
      <c r="N104" s="45">
        <v>1</v>
      </c>
      <c r="O104" s="45">
        <v>115</v>
      </c>
      <c r="P104" s="45">
        <f t="shared" si="0"/>
        <v>115</v>
      </c>
      <c r="Q104" s="46"/>
      <c r="R104" s="46"/>
      <c r="S104" s="47" t="str">
        <f t="shared" si="1"/>
        <v/>
      </c>
      <c r="T104" s="47" t="str">
        <f t="shared" si="2"/>
        <v/>
      </c>
      <c r="U104" s="47" t="str">
        <f t="shared" si="3"/>
        <v/>
      </c>
      <c r="V104" s="47">
        <f t="shared" si="4"/>
        <v>115</v>
      </c>
      <c r="W104" s="47" t="str">
        <f t="shared" si="5"/>
        <v/>
      </c>
      <c r="X104" s="47" t="str">
        <f t="shared" si="6"/>
        <v/>
      </c>
      <c r="Y104" s="47" t="str">
        <f t="shared" si="7"/>
        <v/>
      </c>
      <c r="Z104" s="47">
        <f t="shared" si="17"/>
        <v>115</v>
      </c>
      <c r="AA104" s="47" t="str">
        <f t="shared" si="9"/>
        <v/>
      </c>
      <c r="AB104" s="47" t="str">
        <f t="shared" si="10"/>
        <v/>
      </c>
      <c r="AC104" s="47" t="str">
        <f t="shared" si="11"/>
        <v/>
      </c>
      <c r="AD104" s="47" t="str">
        <f t="shared" si="12"/>
        <v/>
      </c>
      <c r="AE104" s="47" t="str">
        <f t="shared" si="13"/>
        <v/>
      </c>
      <c r="AF104" s="47" t="str">
        <f t="shared" si="14"/>
        <v/>
      </c>
      <c r="AG104" s="47" t="str">
        <f t="shared" si="15"/>
        <v/>
      </c>
    </row>
    <row r="105" spans="1:33" x14ac:dyDescent="0.25">
      <c r="A105" s="36">
        <v>4</v>
      </c>
      <c r="B105" s="37" t="s">
        <v>168</v>
      </c>
      <c r="C105" s="37"/>
      <c r="D105" s="37"/>
      <c r="E105" s="37"/>
      <c r="F105" s="40"/>
      <c r="G105" s="49"/>
      <c r="H105" s="40"/>
      <c r="I105" s="40"/>
      <c r="J105" s="42">
        <v>1</v>
      </c>
      <c r="K105" s="43" t="s">
        <v>60</v>
      </c>
      <c r="L105" s="43" t="s">
        <v>171</v>
      </c>
      <c r="M105" s="44">
        <v>140</v>
      </c>
      <c r="N105" s="45">
        <v>1</v>
      </c>
      <c r="O105" s="45">
        <v>140</v>
      </c>
      <c r="P105" s="45">
        <f t="shared" si="0"/>
        <v>140</v>
      </c>
      <c r="Q105" s="46"/>
      <c r="R105" s="46"/>
      <c r="S105" s="47" t="str">
        <f t="shared" si="1"/>
        <v/>
      </c>
      <c r="T105" s="47" t="str">
        <f t="shared" si="2"/>
        <v/>
      </c>
      <c r="U105" s="47" t="str">
        <f t="shared" si="3"/>
        <v/>
      </c>
      <c r="V105" s="47">
        <f t="shared" si="4"/>
        <v>140</v>
      </c>
      <c r="W105" s="47" t="str">
        <f t="shared" si="5"/>
        <v/>
      </c>
      <c r="X105" s="47" t="str">
        <f t="shared" si="6"/>
        <v/>
      </c>
      <c r="Y105" s="47" t="str">
        <f t="shared" si="7"/>
        <v/>
      </c>
      <c r="Z105" s="47">
        <f t="shared" si="17"/>
        <v>140</v>
      </c>
      <c r="AA105" s="47" t="str">
        <f t="shared" si="9"/>
        <v/>
      </c>
      <c r="AB105" s="47" t="str">
        <f t="shared" si="10"/>
        <v/>
      </c>
      <c r="AC105" s="47" t="str">
        <f t="shared" si="11"/>
        <v/>
      </c>
      <c r="AD105" s="47" t="str">
        <f t="shared" si="12"/>
        <v/>
      </c>
      <c r="AE105" s="47" t="str">
        <f>IF($N105=6,$P105,"")</f>
        <v/>
      </c>
      <c r="AF105" s="47" t="str">
        <f t="shared" si="14"/>
        <v/>
      </c>
      <c r="AG105" s="47" t="str">
        <f t="shared" si="15"/>
        <v/>
      </c>
    </row>
    <row r="106" spans="1:33" x14ac:dyDescent="0.25">
      <c r="A106" s="36">
        <v>4</v>
      </c>
      <c r="B106" s="37" t="s">
        <v>172</v>
      </c>
      <c r="C106" s="38">
        <v>8123539078</v>
      </c>
      <c r="D106" s="37"/>
      <c r="E106" s="37"/>
      <c r="F106" s="40"/>
      <c r="G106" s="51">
        <v>45667</v>
      </c>
      <c r="H106" s="40"/>
      <c r="I106" s="40"/>
      <c r="J106" s="42">
        <v>6</v>
      </c>
      <c r="K106" s="43" t="s">
        <v>46</v>
      </c>
      <c r="L106" s="43" t="s">
        <v>173</v>
      </c>
      <c r="M106" s="44">
        <v>250</v>
      </c>
      <c r="N106" s="45">
        <v>7</v>
      </c>
      <c r="O106" s="45">
        <v>1500</v>
      </c>
      <c r="P106" s="45">
        <f t="shared" si="0"/>
        <v>1500</v>
      </c>
      <c r="Q106" s="46"/>
      <c r="R106" s="46"/>
      <c r="S106" s="47" t="str">
        <f t="shared" si="1"/>
        <v/>
      </c>
      <c r="T106" s="47" t="str">
        <f t="shared" si="2"/>
        <v/>
      </c>
      <c r="U106" s="47" t="str">
        <f t="shared" si="3"/>
        <v/>
      </c>
      <c r="V106" s="47">
        <f t="shared" si="4"/>
        <v>1500</v>
      </c>
      <c r="W106" s="47" t="str">
        <f t="shared" si="5"/>
        <v/>
      </c>
      <c r="X106" s="47" t="str">
        <f t="shared" si="6"/>
        <v/>
      </c>
      <c r="Y106" s="47" t="str">
        <f t="shared" si="7"/>
        <v/>
      </c>
      <c r="Z106" s="47" t="str">
        <f t="shared" si="17"/>
        <v/>
      </c>
      <c r="AA106" s="47" t="str">
        <f t="shared" si="9"/>
        <v/>
      </c>
      <c r="AB106" s="47" t="str">
        <f t="shared" si="10"/>
        <v/>
      </c>
      <c r="AC106" s="47" t="str">
        <f t="shared" si="11"/>
        <v/>
      </c>
      <c r="AD106" s="47" t="str">
        <f t="shared" si="12"/>
        <v/>
      </c>
      <c r="AE106" s="47" t="str">
        <f t="shared" ref="AE106:AE276" si="18">IF($N106=6,$O106,"")</f>
        <v/>
      </c>
      <c r="AF106" s="47">
        <f t="shared" si="14"/>
        <v>1500</v>
      </c>
      <c r="AG106" s="47" t="str">
        <f t="shared" si="15"/>
        <v/>
      </c>
    </row>
    <row r="107" spans="1:33" x14ac:dyDescent="0.25">
      <c r="A107" s="36">
        <v>3</v>
      </c>
      <c r="B107" s="37" t="s">
        <v>174</v>
      </c>
      <c r="C107" s="38">
        <v>8183623891</v>
      </c>
      <c r="D107" s="37"/>
      <c r="E107" s="37"/>
      <c r="F107" s="40"/>
      <c r="G107" s="51">
        <v>45668</v>
      </c>
      <c r="H107" s="40"/>
      <c r="I107" s="40"/>
      <c r="J107" s="42">
        <v>4</v>
      </c>
      <c r="K107" s="43" t="s">
        <v>97</v>
      </c>
      <c r="L107" s="43" t="s">
        <v>63</v>
      </c>
      <c r="M107" s="44">
        <v>975</v>
      </c>
      <c r="N107" s="45">
        <v>1</v>
      </c>
      <c r="O107" s="45">
        <v>3900</v>
      </c>
      <c r="P107" s="45">
        <f t="shared" si="0"/>
        <v>3900</v>
      </c>
      <c r="Q107" s="46"/>
      <c r="R107" s="46"/>
      <c r="S107" s="47" t="str">
        <f t="shared" si="1"/>
        <v/>
      </c>
      <c r="T107" s="47" t="str">
        <f t="shared" si="2"/>
        <v/>
      </c>
      <c r="U107" s="47">
        <f t="shared" si="3"/>
        <v>3900</v>
      </c>
      <c r="V107" s="47" t="str">
        <f t="shared" si="4"/>
        <v/>
      </c>
      <c r="W107" s="47" t="str">
        <f t="shared" si="5"/>
        <v/>
      </c>
      <c r="X107" s="47" t="str">
        <f t="shared" si="6"/>
        <v/>
      </c>
      <c r="Y107" s="47" t="str">
        <f t="shared" si="7"/>
        <v/>
      </c>
      <c r="Z107" s="47">
        <f t="shared" si="17"/>
        <v>3900</v>
      </c>
      <c r="AA107" s="47" t="str">
        <f t="shared" si="9"/>
        <v/>
      </c>
      <c r="AB107" s="47" t="str">
        <f t="shared" si="10"/>
        <v/>
      </c>
      <c r="AC107" s="47" t="str">
        <f t="shared" si="11"/>
        <v/>
      </c>
      <c r="AD107" s="47" t="str">
        <f t="shared" si="12"/>
        <v/>
      </c>
      <c r="AE107" s="47" t="str">
        <f t="shared" si="18"/>
        <v/>
      </c>
      <c r="AF107" s="47" t="str">
        <f t="shared" si="14"/>
        <v/>
      </c>
      <c r="AG107" s="47" t="str">
        <f t="shared" si="15"/>
        <v/>
      </c>
    </row>
    <row r="108" spans="1:33" x14ac:dyDescent="0.25">
      <c r="A108" s="36">
        <v>4</v>
      </c>
      <c r="B108" s="37" t="s">
        <v>175</v>
      </c>
      <c r="C108" s="37"/>
      <c r="D108" s="37"/>
      <c r="E108" s="37"/>
      <c r="F108" s="40"/>
      <c r="G108" s="51">
        <v>45668</v>
      </c>
      <c r="H108" s="40"/>
      <c r="I108" s="40"/>
      <c r="J108" s="42">
        <v>24</v>
      </c>
      <c r="K108" s="43" t="s">
        <v>74</v>
      </c>
      <c r="L108" s="43" t="s">
        <v>176</v>
      </c>
      <c r="M108" s="44">
        <v>22</v>
      </c>
      <c r="N108" s="45">
        <v>1</v>
      </c>
      <c r="O108" s="45">
        <v>528</v>
      </c>
      <c r="P108" s="45">
        <f t="shared" si="0"/>
        <v>528</v>
      </c>
      <c r="Q108" s="46"/>
      <c r="R108" s="46"/>
      <c r="S108" s="47" t="str">
        <f t="shared" si="1"/>
        <v/>
      </c>
      <c r="T108" s="47" t="str">
        <f t="shared" si="2"/>
        <v/>
      </c>
      <c r="U108" s="47" t="str">
        <f t="shared" si="3"/>
        <v/>
      </c>
      <c r="V108" s="47">
        <f t="shared" si="4"/>
        <v>528</v>
      </c>
      <c r="W108" s="47" t="str">
        <f t="shared" si="5"/>
        <v/>
      </c>
      <c r="X108" s="47" t="str">
        <f t="shared" si="6"/>
        <v/>
      </c>
      <c r="Y108" s="47" t="str">
        <f t="shared" si="7"/>
        <v/>
      </c>
      <c r="Z108" s="47">
        <f t="shared" si="17"/>
        <v>528</v>
      </c>
      <c r="AA108" s="47" t="str">
        <f t="shared" si="9"/>
        <v/>
      </c>
      <c r="AB108" s="47" t="str">
        <f t="shared" si="10"/>
        <v/>
      </c>
      <c r="AC108" s="47" t="str">
        <f t="shared" si="11"/>
        <v/>
      </c>
      <c r="AD108" s="47" t="str">
        <f t="shared" si="12"/>
        <v/>
      </c>
      <c r="AE108" s="47" t="str">
        <f t="shared" si="18"/>
        <v/>
      </c>
      <c r="AF108" s="47" t="str">
        <f t="shared" si="14"/>
        <v/>
      </c>
      <c r="AG108" s="47" t="str">
        <f t="shared" si="15"/>
        <v/>
      </c>
    </row>
    <row r="109" spans="1:33" x14ac:dyDescent="0.25">
      <c r="A109" s="36">
        <v>4</v>
      </c>
      <c r="B109" s="37" t="s">
        <v>175</v>
      </c>
      <c r="C109" s="37"/>
      <c r="D109" s="37"/>
      <c r="E109" s="37"/>
      <c r="F109" s="40"/>
      <c r="G109" s="49"/>
      <c r="H109" s="40"/>
      <c r="I109" s="40"/>
      <c r="J109" s="42">
        <v>2</v>
      </c>
      <c r="K109" s="43" t="s">
        <v>60</v>
      </c>
      <c r="L109" s="43" t="s">
        <v>177</v>
      </c>
      <c r="M109" s="44">
        <v>105</v>
      </c>
      <c r="N109" s="45">
        <v>1</v>
      </c>
      <c r="O109" s="45">
        <v>210</v>
      </c>
      <c r="P109" s="45">
        <f t="shared" si="0"/>
        <v>210</v>
      </c>
      <c r="Q109" s="46"/>
      <c r="R109" s="46"/>
      <c r="S109" s="47" t="str">
        <f t="shared" si="1"/>
        <v/>
      </c>
      <c r="T109" s="47" t="str">
        <f t="shared" si="2"/>
        <v/>
      </c>
      <c r="U109" s="47" t="str">
        <f t="shared" si="3"/>
        <v/>
      </c>
      <c r="V109" s="47">
        <f t="shared" si="4"/>
        <v>210</v>
      </c>
      <c r="W109" s="47" t="str">
        <f t="shared" si="5"/>
        <v/>
      </c>
      <c r="X109" s="47" t="str">
        <f t="shared" si="6"/>
        <v/>
      </c>
      <c r="Y109" s="47" t="str">
        <f t="shared" si="7"/>
        <v/>
      </c>
      <c r="Z109" s="47">
        <f t="shared" si="17"/>
        <v>210</v>
      </c>
      <c r="AA109" s="47" t="str">
        <f t="shared" si="9"/>
        <v/>
      </c>
      <c r="AB109" s="47" t="str">
        <f t="shared" si="10"/>
        <v/>
      </c>
      <c r="AC109" s="47" t="str">
        <f t="shared" si="11"/>
        <v/>
      </c>
      <c r="AD109" s="47" t="str">
        <f t="shared" si="12"/>
        <v/>
      </c>
      <c r="AE109" s="47" t="str">
        <f t="shared" si="18"/>
        <v/>
      </c>
      <c r="AF109" s="47" t="str">
        <f t="shared" si="14"/>
        <v/>
      </c>
      <c r="AG109" s="47" t="str">
        <f t="shared" si="15"/>
        <v/>
      </c>
    </row>
    <row r="110" spans="1:33" x14ac:dyDescent="0.25">
      <c r="A110" s="36">
        <v>4</v>
      </c>
      <c r="B110" s="37" t="s">
        <v>175</v>
      </c>
      <c r="C110" s="37"/>
      <c r="D110" s="37"/>
      <c r="E110" s="37"/>
      <c r="F110" s="40"/>
      <c r="G110" s="49"/>
      <c r="H110" s="40"/>
      <c r="I110" s="40"/>
      <c r="J110" s="42">
        <v>9</v>
      </c>
      <c r="K110" s="43" t="s">
        <v>46</v>
      </c>
      <c r="L110" s="43" t="s">
        <v>178</v>
      </c>
      <c r="M110" s="44">
        <v>130</v>
      </c>
      <c r="N110" s="45">
        <v>1</v>
      </c>
      <c r="O110" s="45">
        <v>1170</v>
      </c>
      <c r="P110" s="45">
        <f t="shared" si="0"/>
        <v>1170</v>
      </c>
      <c r="Q110" s="46"/>
      <c r="R110" s="46"/>
      <c r="S110" s="47" t="str">
        <f t="shared" si="1"/>
        <v/>
      </c>
      <c r="T110" s="47" t="str">
        <f t="shared" si="2"/>
        <v/>
      </c>
      <c r="U110" s="47" t="str">
        <f t="shared" si="3"/>
        <v/>
      </c>
      <c r="V110" s="47">
        <f t="shared" si="4"/>
        <v>1170</v>
      </c>
      <c r="W110" s="47" t="str">
        <f t="shared" si="5"/>
        <v/>
      </c>
      <c r="X110" s="47" t="str">
        <f t="shared" si="6"/>
        <v/>
      </c>
      <c r="Y110" s="47" t="str">
        <f t="shared" si="7"/>
        <v/>
      </c>
      <c r="Z110" s="47">
        <f t="shared" si="17"/>
        <v>1170</v>
      </c>
      <c r="AA110" s="47" t="str">
        <f t="shared" si="9"/>
        <v/>
      </c>
      <c r="AB110" s="47" t="str">
        <f t="shared" si="10"/>
        <v/>
      </c>
      <c r="AC110" s="47" t="str">
        <f t="shared" si="11"/>
        <v/>
      </c>
      <c r="AD110" s="47" t="str">
        <f t="shared" si="12"/>
        <v/>
      </c>
      <c r="AE110" s="47" t="str">
        <f t="shared" si="18"/>
        <v/>
      </c>
      <c r="AF110" s="47" t="str">
        <f t="shared" si="14"/>
        <v/>
      </c>
      <c r="AG110" s="47" t="str">
        <f t="shared" si="15"/>
        <v/>
      </c>
    </row>
    <row r="111" spans="1:33" x14ac:dyDescent="0.25">
      <c r="A111" s="36">
        <v>4</v>
      </c>
      <c r="B111" s="37" t="s">
        <v>179</v>
      </c>
      <c r="C111" s="38">
        <v>8115647948</v>
      </c>
      <c r="D111" s="37"/>
      <c r="E111" s="37"/>
      <c r="F111" s="40"/>
      <c r="G111" s="51">
        <v>45669</v>
      </c>
      <c r="H111" s="40"/>
      <c r="I111" s="40"/>
      <c r="J111" s="42">
        <v>27</v>
      </c>
      <c r="K111" s="43" t="s">
        <v>97</v>
      </c>
      <c r="L111" s="43" t="s">
        <v>180</v>
      </c>
      <c r="M111" s="44">
        <v>209</v>
      </c>
      <c r="N111" s="45">
        <v>1</v>
      </c>
      <c r="O111" s="45">
        <v>5643</v>
      </c>
      <c r="P111" s="45">
        <f t="shared" si="0"/>
        <v>5643</v>
      </c>
      <c r="Q111" s="46"/>
      <c r="R111" s="46"/>
      <c r="S111" s="47" t="str">
        <f t="shared" si="1"/>
        <v/>
      </c>
      <c r="T111" s="47" t="str">
        <f t="shared" si="2"/>
        <v/>
      </c>
      <c r="U111" s="47" t="str">
        <f t="shared" si="3"/>
        <v/>
      </c>
      <c r="V111" s="47">
        <f t="shared" si="4"/>
        <v>5643</v>
      </c>
      <c r="W111" s="47" t="str">
        <f t="shared" si="5"/>
        <v/>
      </c>
      <c r="X111" s="47" t="str">
        <f t="shared" si="6"/>
        <v/>
      </c>
      <c r="Y111" s="47" t="str">
        <f t="shared" si="7"/>
        <v/>
      </c>
      <c r="Z111" s="47">
        <f t="shared" si="17"/>
        <v>5643</v>
      </c>
      <c r="AA111" s="47" t="str">
        <f t="shared" si="9"/>
        <v/>
      </c>
      <c r="AB111" s="47" t="str">
        <f t="shared" si="10"/>
        <v/>
      </c>
      <c r="AC111" s="47" t="str">
        <f t="shared" si="11"/>
        <v/>
      </c>
      <c r="AD111" s="47" t="str">
        <f t="shared" si="12"/>
        <v/>
      </c>
      <c r="AE111" s="47" t="str">
        <f t="shared" si="18"/>
        <v/>
      </c>
      <c r="AF111" s="47" t="str">
        <f t="shared" si="14"/>
        <v/>
      </c>
      <c r="AG111" s="47" t="str">
        <f t="shared" si="15"/>
        <v/>
      </c>
    </row>
    <row r="112" spans="1:33" x14ac:dyDescent="0.25">
      <c r="A112" s="36">
        <v>4</v>
      </c>
      <c r="B112" s="37" t="s">
        <v>181</v>
      </c>
      <c r="C112" s="38">
        <v>8123803201</v>
      </c>
      <c r="D112" s="37"/>
      <c r="E112" s="37"/>
      <c r="F112" s="40"/>
      <c r="G112" s="51">
        <v>45670</v>
      </c>
      <c r="H112" s="40"/>
      <c r="I112" s="40"/>
      <c r="J112" s="42">
        <v>2</v>
      </c>
      <c r="K112" s="43" t="s">
        <v>97</v>
      </c>
      <c r="L112" s="43" t="s">
        <v>182</v>
      </c>
      <c r="M112" s="44">
        <v>340</v>
      </c>
      <c r="N112" s="45">
        <v>1</v>
      </c>
      <c r="O112" s="45">
        <v>680</v>
      </c>
      <c r="P112" s="45">
        <f t="shared" si="0"/>
        <v>680</v>
      </c>
      <c r="Q112" s="46"/>
      <c r="R112" s="46"/>
      <c r="S112" s="47" t="str">
        <f t="shared" si="1"/>
        <v/>
      </c>
      <c r="T112" s="47" t="str">
        <f t="shared" si="2"/>
        <v/>
      </c>
      <c r="U112" s="47" t="str">
        <f t="shared" si="3"/>
        <v/>
      </c>
      <c r="V112" s="47">
        <f t="shared" si="4"/>
        <v>680</v>
      </c>
      <c r="W112" s="47" t="str">
        <f t="shared" si="5"/>
        <v/>
      </c>
      <c r="X112" s="47" t="str">
        <f t="shared" si="6"/>
        <v/>
      </c>
      <c r="Y112" s="47" t="str">
        <f t="shared" si="7"/>
        <v/>
      </c>
      <c r="Z112" s="47">
        <f t="shared" si="17"/>
        <v>680</v>
      </c>
      <c r="AA112" s="47" t="str">
        <f t="shared" si="9"/>
        <v/>
      </c>
      <c r="AB112" s="47" t="str">
        <f t="shared" si="10"/>
        <v/>
      </c>
      <c r="AC112" s="47" t="str">
        <f t="shared" si="11"/>
        <v/>
      </c>
      <c r="AD112" s="47" t="str">
        <f t="shared" si="12"/>
        <v/>
      </c>
      <c r="AE112" s="47" t="str">
        <f t="shared" si="18"/>
        <v/>
      </c>
      <c r="AF112" s="47" t="str">
        <f t="shared" si="14"/>
        <v/>
      </c>
      <c r="AG112" s="47" t="str">
        <f t="shared" si="15"/>
        <v/>
      </c>
    </row>
    <row r="113" spans="1:33" x14ac:dyDescent="0.25">
      <c r="A113" s="36">
        <v>4</v>
      </c>
      <c r="B113" s="37" t="s">
        <v>181</v>
      </c>
      <c r="C113" s="37"/>
      <c r="D113" s="37"/>
      <c r="E113" s="37"/>
      <c r="F113" s="40"/>
      <c r="G113" s="49"/>
      <c r="H113" s="40"/>
      <c r="I113" s="40"/>
      <c r="J113" s="42">
        <v>1</v>
      </c>
      <c r="K113" s="43" t="s">
        <v>52</v>
      </c>
      <c r="L113" s="43" t="s">
        <v>183</v>
      </c>
      <c r="M113" s="44">
        <v>41</v>
      </c>
      <c r="N113" s="45">
        <v>1</v>
      </c>
      <c r="O113" s="45">
        <v>41</v>
      </c>
      <c r="P113" s="45">
        <f t="shared" si="0"/>
        <v>41</v>
      </c>
      <c r="Q113" s="46"/>
      <c r="R113" s="46"/>
      <c r="S113" s="47" t="str">
        <f t="shared" si="1"/>
        <v/>
      </c>
      <c r="T113" s="47" t="str">
        <f t="shared" si="2"/>
        <v/>
      </c>
      <c r="U113" s="47" t="str">
        <f t="shared" si="3"/>
        <v/>
      </c>
      <c r="V113" s="47">
        <f t="shared" si="4"/>
        <v>41</v>
      </c>
      <c r="W113" s="47" t="str">
        <f t="shared" si="5"/>
        <v/>
      </c>
      <c r="X113" s="47" t="str">
        <f t="shared" si="6"/>
        <v/>
      </c>
      <c r="Y113" s="47" t="str">
        <f t="shared" si="7"/>
        <v/>
      </c>
      <c r="Z113" s="47">
        <f t="shared" si="17"/>
        <v>41</v>
      </c>
      <c r="AA113" s="47" t="str">
        <f t="shared" si="9"/>
        <v/>
      </c>
      <c r="AB113" s="47" t="str">
        <f t="shared" si="10"/>
        <v/>
      </c>
      <c r="AC113" s="47" t="str">
        <f t="shared" si="11"/>
        <v/>
      </c>
      <c r="AD113" s="47" t="str">
        <f t="shared" si="12"/>
        <v/>
      </c>
      <c r="AE113" s="47" t="str">
        <f t="shared" si="18"/>
        <v/>
      </c>
      <c r="AF113" s="47" t="str">
        <f t="shared" si="14"/>
        <v/>
      </c>
      <c r="AG113" s="47" t="str">
        <f t="shared" si="15"/>
        <v/>
      </c>
    </row>
    <row r="114" spans="1:33" x14ac:dyDescent="0.25">
      <c r="A114" s="36">
        <v>4</v>
      </c>
      <c r="B114" s="37" t="s">
        <v>181</v>
      </c>
      <c r="C114" s="37"/>
      <c r="D114" s="37"/>
      <c r="E114" s="37"/>
      <c r="F114" s="40"/>
      <c r="G114" s="49"/>
      <c r="H114" s="40"/>
      <c r="I114" s="40"/>
      <c r="J114" s="42">
        <v>2</v>
      </c>
      <c r="K114" s="43" t="s">
        <v>107</v>
      </c>
      <c r="L114" s="43" t="s">
        <v>184</v>
      </c>
      <c r="M114" s="44">
        <v>117</v>
      </c>
      <c r="N114" s="45">
        <v>1</v>
      </c>
      <c r="O114" s="45">
        <v>234</v>
      </c>
      <c r="P114" s="45">
        <f t="shared" si="0"/>
        <v>234</v>
      </c>
      <c r="Q114" s="46"/>
      <c r="R114" s="46"/>
      <c r="S114" s="47" t="str">
        <f t="shared" si="1"/>
        <v/>
      </c>
      <c r="T114" s="47" t="str">
        <f t="shared" si="2"/>
        <v/>
      </c>
      <c r="U114" s="47" t="str">
        <f t="shared" si="3"/>
        <v/>
      </c>
      <c r="V114" s="47">
        <f t="shared" si="4"/>
        <v>234</v>
      </c>
      <c r="W114" s="47" t="str">
        <f t="shared" si="5"/>
        <v/>
      </c>
      <c r="X114" s="47" t="str">
        <f t="shared" si="6"/>
        <v/>
      </c>
      <c r="Y114" s="47" t="str">
        <f t="shared" si="7"/>
        <v/>
      </c>
      <c r="Z114" s="47">
        <f t="shared" si="17"/>
        <v>234</v>
      </c>
      <c r="AA114" s="47" t="str">
        <f t="shared" si="9"/>
        <v/>
      </c>
      <c r="AB114" s="47" t="str">
        <f t="shared" si="10"/>
        <v/>
      </c>
      <c r="AC114" s="47" t="str">
        <f t="shared" si="11"/>
        <v/>
      </c>
      <c r="AD114" s="47" t="str">
        <f t="shared" si="12"/>
        <v/>
      </c>
      <c r="AE114" s="47" t="str">
        <f t="shared" si="18"/>
        <v/>
      </c>
      <c r="AF114" s="47" t="str">
        <f t="shared" si="14"/>
        <v/>
      </c>
      <c r="AG114" s="47" t="str">
        <f t="shared" si="15"/>
        <v/>
      </c>
    </row>
    <row r="115" spans="1:33" x14ac:dyDescent="0.25">
      <c r="A115" s="36">
        <v>4</v>
      </c>
      <c r="B115" s="37" t="s">
        <v>181</v>
      </c>
      <c r="C115" s="37"/>
      <c r="D115" s="37"/>
      <c r="E115" s="37"/>
      <c r="F115" s="40"/>
      <c r="G115" s="49"/>
      <c r="H115" s="40"/>
      <c r="I115" s="40"/>
      <c r="J115" s="42">
        <v>3</v>
      </c>
      <c r="K115" s="43" t="s">
        <v>107</v>
      </c>
      <c r="L115" s="43" t="s">
        <v>185</v>
      </c>
      <c r="M115" s="44">
        <v>40</v>
      </c>
      <c r="N115" s="45">
        <v>1</v>
      </c>
      <c r="O115" s="45">
        <v>120</v>
      </c>
      <c r="P115" s="45">
        <f t="shared" si="0"/>
        <v>120</v>
      </c>
      <c r="Q115" s="46"/>
      <c r="R115" s="46"/>
      <c r="S115" s="47" t="str">
        <f t="shared" si="1"/>
        <v/>
      </c>
      <c r="T115" s="47" t="str">
        <f t="shared" si="2"/>
        <v/>
      </c>
      <c r="U115" s="47" t="str">
        <f t="shared" si="3"/>
        <v/>
      </c>
      <c r="V115" s="47">
        <f t="shared" si="4"/>
        <v>120</v>
      </c>
      <c r="W115" s="47" t="str">
        <f t="shared" si="5"/>
        <v/>
      </c>
      <c r="X115" s="47" t="str">
        <f t="shared" si="6"/>
        <v/>
      </c>
      <c r="Y115" s="47" t="str">
        <f t="shared" si="7"/>
        <v/>
      </c>
      <c r="Z115" s="47">
        <f t="shared" si="17"/>
        <v>120</v>
      </c>
      <c r="AA115" s="47" t="str">
        <f t="shared" si="9"/>
        <v/>
      </c>
      <c r="AB115" s="47" t="str">
        <f t="shared" si="10"/>
        <v/>
      </c>
      <c r="AC115" s="47" t="str">
        <f t="shared" si="11"/>
        <v/>
      </c>
      <c r="AD115" s="47" t="str">
        <f t="shared" si="12"/>
        <v/>
      </c>
      <c r="AE115" s="47" t="str">
        <f t="shared" si="18"/>
        <v/>
      </c>
      <c r="AF115" s="47" t="str">
        <f t="shared" si="14"/>
        <v/>
      </c>
      <c r="AG115" s="47" t="str">
        <f t="shared" si="15"/>
        <v/>
      </c>
    </row>
    <row r="116" spans="1:33" x14ac:dyDescent="0.25">
      <c r="A116" s="36">
        <v>4</v>
      </c>
      <c r="B116" s="37" t="s">
        <v>181</v>
      </c>
      <c r="C116" s="37"/>
      <c r="D116" s="37"/>
      <c r="E116" s="37"/>
      <c r="F116" s="40"/>
      <c r="G116" s="49"/>
      <c r="H116" s="40"/>
      <c r="I116" s="40"/>
      <c r="J116" s="42">
        <v>7</v>
      </c>
      <c r="K116" s="43" t="s">
        <v>186</v>
      </c>
      <c r="L116" s="43" t="s">
        <v>187</v>
      </c>
      <c r="M116" s="44">
        <v>99</v>
      </c>
      <c r="N116" s="45">
        <v>1</v>
      </c>
      <c r="O116" s="45">
        <v>693</v>
      </c>
      <c r="P116" s="45">
        <f t="shared" si="0"/>
        <v>693</v>
      </c>
      <c r="Q116" s="46"/>
      <c r="R116" s="46"/>
      <c r="S116" s="47" t="str">
        <f t="shared" si="1"/>
        <v/>
      </c>
      <c r="T116" s="47" t="str">
        <f t="shared" si="2"/>
        <v/>
      </c>
      <c r="U116" s="47" t="str">
        <f t="shared" si="3"/>
        <v/>
      </c>
      <c r="V116" s="47">
        <f t="shared" si="4"/>
        <v>693</v>
      </c>
      <c r="W116" s="47" t="str">
        <f t="shared" si="5"/>
        <v/>
      </c>
      <c r="X116" s="47" t="str">
        <f t="shared" si="6"/>
        <v/>
      </c>
      <c r="Y116" s="47" t="str">
        <f t="shared" si="7"/>
        <v/>
      </c>
      <c r="Z116" s="47">
        <f t="shared" si="17"/>
        <v>693</v>
      </c>
      <c r="AA116" s="47" t="str">
        <f t="shared" si="9"/>
        <v/>
      </c>
      <c r="AB116" s="47" t="str">
        <f t="shared" si="10"/>
        <v/>
      </c>
      <c r="AC116" s="47" t="str">
        <f t="shared" si="11"/>
        <v/>
      </c>
      <c r="AD116" s="47" t="str">
        <f t="shared" si="12"/>
        <v/>
      </c>
      <c r="AE116" s="47" t="str">
        <f t="shared" si="18"/>
        <v/>
      </c>
      <c r="AF116" s="47" t="str">
        <f t="shared" si="14"/>
        <v/>
      </c>
      <c r="AG116" s="47" t="str">
        <f t="shared" si="15"/>
        <v/>
      </c>
    </row>
    <row r="117" spans="1:33" x14ac:dyDescent="0.25">
      <c r="A117" s="36">
        <v>4</v>
      </c>
      <c r="B117" s="37" t="s">
        <v>181</v>
      </c>
      <c r="C117" s="37"/>
      <c r="D117" s="37"/>
      <c r="E117" s="37"/>
      <c r="F117" s="40"/>
      <c r="G117" s="49"/>
      <c r="H117" s="40"/>
      <c r="I117" s="40"/>
      <c r="J117" s="42">
        <v>1</v>
      </c>
      <c r="K117" s="43" t="s">
        <v>82</v>
      </c>
      <c r="L117" s="43" t="s">
        <v>188</v>
      </c>
      <c r="M117" s="44">
        <v>289</v>
      </c>
      <c r="N117" s="45">
        <v>1</v>
      </c>
      <c r="O117" s="45">
        <v>289</v>
      </c>
      <c r="P117" s="45">
        <f t="shared" si="0"/>
        <v>289</v>
      </c>
      <c r="Q117" s="46"/>
      <c r="R117" s="46"/>
      <c r="S117" s="47" t="str">
        <f t="shared" si="1"/>
        <v/>
      </c>
      <c r="T117" s="47" t="str">
        <f t="shared" si="2"/>
        <v/>
      </c>
      <c r="U117" s="47" t="str">
        <f t="shared" si="3"/>
        <v/>
      </c>
      <c r="V117" s="47">
        <f t="shared" si="4"/>
        <v>289</v>
      </c>
      <c r="W117" s="47" t="str">
        <f t="shared" si="5"/>
        <v/>
      </c>
      <c r="X117" s="47" t="str">
        <f t="shared" si="6"/>
        <v/>
      </c>
      <c r="Y117" s="47" t="str">
        <f t="shared" si="7"/>
        <v/>
      </c>
      <c r="Z117" s="47">
        <f t="shared" si="17"/>
        <v>289</v>
      </c>
      <c r="AA117" s="47" t="str">
        <f t="shared" si="9"/>
        <v/>
      </c>
      <c r="AB117" s="47" t="str">
        <f t="shared" si="10"/>
        <v/>
      </c>
      <c r="AC117" s="47" t="str">
        <f t="shared" si="11"/>
        <v/>
      </c>
      <c r="AD117" s="47" t="str">
        <f t="shared" si="12"/>
        <v/>
      </c>
      <c r="AE117" s="47" t="str">
        <f t="shared" si="18"/>
        <v/>
      </c>
      <c r="AF117" s="47" t="str">
        <f t="shared" si="14"/>
        <v/>
      </c>
      <c r="AG117" s="47" t="str">
        <f t="shared" si="15"/>
        <v/>
      </c>
    </row>
    <row r="118" spans="1:33" x14ac:dyDescent="0.25">
      <c r="A118" s="36">
        <v>4</v>
      </c>
      <c r="B118" s="37" t="s">
        <v>181</v>
      </c>
      <c r="C118" s="37"/>
      <c r="D118" s="37"/>
      <c r="E118" s="37"/>
      <c r="F118" s="40"/>
      <c r="G118" s="49"/>
      <c r="H118" s="40"/>
      <c r="I118" s="40"/>
      <c r="J118" s="42">
        <v>9</v>
      </c>
      <c r="K118" s="43" t="s">
        <v>97</v>
      </c>
      <c r="L118" s="43" t="s">
        <v>189</v>
      </c>
      <c r="M118" s="44">
        <v>980</v>
      </c>
      <c r="N118" s="45">
        <v>1</v>
      </c>
      <c r="O118" s="45">
        <v>8820</v>
      </c>
      <c r="P118" s="45">
        <f t="shared" si="0"/>
        <v>8820</v>
      </c>
      <c r="Q118" s="46"/>
      <c r="R118" s="46"/>
      <c r="S118" s="47" t="str">
        <f t="shared" si="1"/>
        <v/>
      </c>
      <c r="T118" s="47" t="str">
        <f t="shared" si="2"/>
        <v/>
      </c>
      <c r="U118" s="47" t="str">
        <f t="shared" si="3"/>
        <v/>
      </c>
      <c r="V118" s="47">
        <f t="shared" si="4"/>
        <v>8820</v>
      </c>
      <c r="W118" s="47" t="str">
        <f t="shared" si="5"/>
        <v/>
      </c>
      <c r="X118" s="47" t="str">
        <f t="shared" si="6"/>
        <v/>
      </c>
      <c r="Y118" s="47" t="str">
        <f t="shared" si="7"/>
        <v/>
      </c>
      <c r="Z118" s="47">
        <f t="shared" si="17"/>
        <v>8820</v>
      </c>
      <c r="AA118" s="47" t="str">
        <f t="shared" si="9"/>
        <v/>
      </c>
      <c r="AB118" s="47" t="str">
        <f t="shared" si="10"/>
        <v/>
      </c>
      <c r="AC118" s="47" t="str">
        <f t="shared" si="11"/>
        <v/>
      </c>
      <c r="AD118" s="47" t="str">
        <f t="shared" si="12"/>
        <v/>
      </c>
      <c r="AE118" s="47" t="str">
        <f t="shared" si="18"/>
        <v/>
      </c>
      <c r="AF118" s="47" t="str">
        <f t="shared" si="14"/>
        <v/>
      </c>
      <c r="AG118" s="47" t="str">
        <f t="shared" si="15"/>
        <v/>
      </c>
    </row>
    <row r="119" spans="1:33" x14ac:dyDescent="0.25">
      <c r="A119" s="36">
        <v>4</v>
      </c>
      <c r="B119" s="37" t="s">
        <v>190</v>
      </c>
      <c r="C119" s="38">
        <v>8117906080</v>
      </c>
      <c r="D119" s="37"/>
      <c r="E119" s="37"/>
      <c r="F119" s="40"/>
      <c r="G119" s="51">
        <v>45670</v>
      </c>
      <c r="H119" s="40"/>
      <c r="I119" s="40"/>
      <c r="J119" s="42">
        <v>4</v>
      </c>
      <c r="K119" s="43" t="s">
        <v>78</v>
      </c>
      <c r="L119" s="43" t="s">
        <v>191</v>
      </c>
      <c r="M119" s="44">
        <v>180</v>
      </c>
      <c r="N119" s="45">
        <v>1</v>
      </c>
      <c r="O119" s="45">
        <v>720</v>
      </c>
      <c r="P119" s="45">
        <f t="shared" si="0"/>
        <v>720</v>
      </c>
      <c r="Q119" s="46"/>
      <c r="R119" s="46"/>
      <c r="S119" s="47" t="str">
        <f t="shared" si="1"/>
        <v/>
      </c>
      <c r="T119" s="47" t="str">
        <f t="shared" si="2"/>
        <v/>
      </c>
      <c r="U119" s="47" t="str">
        <f t="shared" si="3"/>
        <v/>
      </c>
      <c r="V119" s="47">
        <f t="shared" si="4"/>
        <v>720</v>
      </c>
      <c r="W119" s="47" t="str">
        <f t="shared" si="5"/>
        <v/>
      </c>
      <c r="X119" s="47" t="str">
        <f t="shared" si="6"/>
        <v/>
      </c>
      <c r="Y119" s="47" t="str">
        <f t="shared" si="7"/>
        <v/>
      </c>
      <c r="Z119" s="47">
        <f t="shared" si="17"/>
        <v>720</v>
      </c>
      <c r="AA119" s="47" t="str">
        <f t="shared" si="9"/>
        <v/>
      </c>
      <c r="AB119" s="47" t="str">
        <f t="shared" si="10"/>
        <v/>
      </c>
      <c r="AC119" s="47" t="str">
        <f t="shared" si="11"/>
        <v/>
      </c>
      <c r="AD119" s="47" t="str">
        <f t="shared" si="12"/>
        <v/>
      </c>
      <c r="AE119" s="47" t="str">
        <f t="shared" si="18"/>
        <v/>
      </c>
      <c r="AF119" s="47" t="str">
        <f t="shared" si="14"/>
        <v/>
      </c>
      <c r="AG119" s="47" t="str">
        <f t="shared" si="15"/>
        <v/>
      </c>
    </row>
    <row r="120" spans="1:33" x14ac:dyDescent="0.25">
      <c r="A120" s="36">
        <v>3</v>
      </c>
      <c r="B120" s="37" t="s">
        <v>59</v>
      </c>
      <c r="C120" s="38">
        <v>8122852815</v>
      </c>
      <c r="D120" s="37"/>
      <c r="E120" s="37"/>
      <c r="F120" s="40"/>
      <c r="G120" s="51">
        <v>45671</v>
      </c>
      <c r="H120" s="40"/>
      <c r="I120" s="40"/>
      <c r="J120" s="42">
        <v>3</v>
      </c>
      <c r="K120" s="43" t="s">
        <v>60</v>
      </c>
      <c r="L120" s="43" t="s">
        <v>192</v>
      </c>
      <c r="M120" s="44">
        <v>20</v>
      </c>
      <c r="N120" s="45">
        <v>1</v>
      </c>
      <c r="O120" s="45">
        <v>60</v>
      </c>
      <c r="P120" s="45">
        <f t="shared" si="0"/>
        <v>60</v>
      </c>
      <c r="Q120" s="46"/>
      <c r="R120" s="46"/>
      <c r="S120" s="47" t="str">
        <f t="shared" si="1"/>
        <v/>
      </c>
      <c r="T120" s="47" t="str">
        <f t="shared" si="2"/>
        <v/>
      </c>
      <c r="U120" s="47">
        <f t="shared" si="3"/>
        <v>60</v>
      </c>
      <c r="V120" s="47" t="str">
        <f t="shared" si="4"/>
        <v/>
      </c>
      <c r="W120" s="47" t="str">
        <f t="shared" si="5"/>
        <v/>
      </c>
      <c r="X120" s="47" t="str">
        <f t="shared" si="6"/>
        <v/>
      </c>
      <c r="Y120" s="47" t="str">
        <f t="shared" si="7"/>
        <v/>
      </c>
      <c r="Z120" s="47">
        <f t="shared" si="17"/>
        <v>60</v>
      </c>
      <c r="AA120" s="47" t="str">
        <f t="shared" si="9"/>
        <v/>
      </c>
      <c r="AB120" s="47" t="str">
        <f t="shared" si="10"/>
        <v/>
      </c>
      <c r="AC120" s="47" t="str">
        <f t="shared" si="11"/>
        <v/>
      </c>
      <c r="AD120" s="47" t="str">
        <f t="shared" si="12"/>
        <v/>
      </c>
      <c r="AE120" s="47" t="str">
        <f t="shared" si="18"/>
        <v/>
      </c>
      <c r="AF120" s="47" t="str">
        <f t="shared" si="14"/>
        <v/>
      </c>
      <c r="AG120" s="47" t="str">
        <f t="shared" si="15"/>
        <v/>
      </c>
    </row>
    <row r="121" spans="1:33" x14ac:dyDescent="0.25">
      <c r="A121" s="36">
        <v>3</v>
      </c>
      <c r="B121" s="37" t="s">
        <v>59</v>
      </c>
      <c r="C121" s="37"/>
      <c r="D121" s="37"/>
      <c r="E121" s="37"/>
      <c r="F121" s="40"/>
      <c r="G121" s="49"/>
      <c r="H121" s="40"/>
      <c r="I121" s="40"/>
      <c r="J121" s="42">
        <v>55</v>
      </c>
      <c r="K121" s="43" t="s">
        <v>60</v>
      </c>
      <c r="L121" s="43" t="s">
        <v>193</v>
      </c>
      <c r="M121" s="44">
        <v>20</v>
      </c>
      <c r="N121" s="45">
        <v>1</v>
      </c>
      <c r="O121" s="45">
        <v>1100</v>
      </c>
      <c r="P121" s="45">
        <f t="shared" si="0"/>
        <v>1100</v>
      </c>
      <c r="Q121" s="46"/>
      <c r="R121" s="46"/>
      <c r="S121" s="47" t="str">
        <f t="shared" si="1"/>
        <v/>
      </c>
      <c r="T121" s="47" t="str">
        <f t="shared" si="2"/>
        <v/>
      </c>
      <c r="U121" s="47">
        <f t="shared" si="3"/>
        <v>1100</v>
      </c>
      <c r="V121" s="47" t="str">
        <f t="shared" si="4"/>
        <v/>
      </c>
      <c r="W121" s="47" t="str">
        <f t="shared" si="5"/>
        <v/>
      </c>
      <c r="X121" s="47" t="str">
        <f t="shared" si="6"/>
        <v/>
      </c>
      <c r="Y121" s="47" t="str">
        <f t="shared" si="7"/>
        <v/>
      </c>
      <c r="Z121" s="47">
        <f t="shared" si="17"/>
        <v>1100</v>
      </c>
      <c r="AA121" s="47" t="str">
        <f t="shared" si="9"/>
        <v/>
      </c>
      <c r="AB121" s="47" t="str">
        <f t="shared" si="10"/>
        <v/>
      </c>
      <c r="AC121" s="47" t="str">
        <f t="shared" si="11"/>
        <v/>
      </c>
      <c r="AD121" s="47" t="str">
        <f t="shared" si="12"/>
        <v/>
      </c>
      <c r="AE121" s="47" t="str">
        <f t="shared" si="18"/>
        <v/>
      </c>
      <c r="AF121" s="47" t="str">
        <f t="shared" si="14"/>
        <v/>
      </c>
      <c r="AG121" s="47" t="str">
        <f t="shared" si="15"/>
        <v/>
      </c>
    </row>
    <row r="122" spans="1:33" x14ac:dyDescent="0.25">
      <c r="A122" s="36">
        <v>3</v>
      </c>
      <c r="B122" s="37" t="s">
        <v>103</v>
      </c>
      <c r="C122" s="38">
        <v>8112556265</v>
      </c>
      <c r="D122" s="37"/>
      <c r="E122" s="37"/>
      <c r="F122" s="40"/>
      <c r="G122" s="51">
        <v>45671</v>
      </c>
      <c r="H122" s="40"/>
      <c r="I122" s="40"/>
      <c r="J122" s="42">
        <v>24</v>
      </c>
      <c r="K122" s="43" t="s">
        <v>60</v>
      </c>
      <c r="L122" s="43" t="s">
        <v>193</v>
      </c>
      <c r="M122" s="44">
        <v>20</v>
      </c>
      <c r="N122" s="45">
        <v>1</v>
      </c>
      <c r="O122" s="45">
        <v>480</v>
      </c>
      <c r="P122" s="45">
        <f t="shared" si="0"/>
        <v>480</v>
      </c>
      <c r="Q122" s="46"/>
      <c r="R122" s="46"/>
      <c r="S122" s="47" t="str">
        <f t="shared" si="1"/>
        <v/>
      </c>
      <c r="T122" s="47" t="str">
        <f t="shared" si="2"/>
        <v/>
      </c>
      <c r="U122" s="47">
        <f t="shared" si="3"/>
        <v>480</v>
      </c>
      <c r="V122" s="47" t="str">
        <f t="shared" si="4"/>
        <v/>
      </c>
      <c r="W122" s="47" t="str">
        <f t="shared" si="5"/>
        <v/>
      </c>
      <c r="X122" s="47" t="str">
        <f t="shared" si="6"/>
        <v/>
      </c>
      <c r="Y122" s="47" t="str">
        <f t="shared" si="7"/>
        <v/>
      </c>
      <c r="Z122" s="47">
        <f t="shared" si="17"/>
        <v>480</v>
      </c>
      <c r="AA122" s="47" t="str">
        <f t="shared" si="9"/>
        <v/>
      </c>
      <c r="AB122" s="47" t="str">
        <f t="shared" si="10"/>
        <v/>
      </c>
      <c r="AC122" s="47" t="str">
        <f t="shared" si="11"/>
        <v/>
      </c>
      <c r="AD122" s="47" t="str">
        <f t="shared" si="12"/>
        <v/>
      </c>
      <c r="AE122" s="47" t="str">
        <f t="shared" si="18"/>
        <v/>
      </c>
      <c r="AF122" s="47" t="str">
        <f t="shared" si="14"/>
        <v/>
      </c>
      <c r="AG122" s="47" t="str">
        <f t="shared" si="15"/>
        <v/>
      </c>
    </row>
    <row r="123" spans="1:33" x14ac:dyDescent="0.25">
      <c r="A123" s="36">
        <v>2</v>
      </c>
      <c r="B123" s="54" t="s">
        <v>194</v>
      </c>
      <c r="C123" s="55">
        <v>8122189829</v>
      </c>
      <c r="D123" s="54"/>
      <c r="E123" s="54"/>
      <c r="F123" s="54"/>
      <c r="G123" s="61"/>
      <c r="H123" s="54"/>
      <c r="I123" s="54"/>
      <c r="J123" s="57">
        <v>180</v>
      </c>
      <c r="K123" s="54" t="s">
        <v>60</v>
      </c>
      <c r="L123" s="54" t="s">
        <v>193</v>
      </c>
      <c r="M123" s="58">
        <v>20</v>
      </c>
      <c r="N123" s="59">
        <v>1</v>
      </c>
      <c r="O123" s="59">
        <v>3600</v>
      </c>
      <c r="P123" s="59">
        <f t="shared" si="0"/>
        <v>3600</v>
      </c>
      <c r="Q123" s="54"/>
      <c r="R123" s="54"/>
      <c r="S123" s="60" t="str">
        <f t="shared" si="1"/>
        <v/>
      </c>
      <c r="T123" s="60">
        <f t="shared" si="2"/>
        <v>3600</v>
      </c>
      <c r="U123" s="60" t="str">
        <f t="shared" si="3"/>
        <v/>
      </c>
      <c r="V123" s="60" t="str">
        <f t="shared" si="4"/>
        <v/>
      </c>
      <c r="W123" s="60" t="str">
        <f t="shared" si="5"/>
        <v/>
      </c>
      <c r="X123" s="60" t="str">
        <f t="shared" si="6"/>
        <v/>
      </c>
      <c r="Y123" s="60" t="str">
        <f t="shared" si="7"/>
        <v/>
      </c>
      <c r="Z123" s="60"/>
      <c r="AA123" s="60" t="str">
        <f t="shared" si="9"/>
        <v/>
      </c>
      <c r="AB123" s="60" t="str">
        <f t="shared" si="10"/>
        <v/>
      </c>
      <c r="AC123" s="60" t="str">
        <f t="shared" si="11"/>
        <v/>
      </c>
      <c r="AD123" s="60" t="str">
        <f t="shared" si="12"/>
        <v/>
      </c>
      <c r="AE123" s="60" t="str">
        <f t="shared" si="18"/>
        <v/>
      </c>
      <c r="AF123" s="60" t="str">
        <f t="shared" si="14"/>
        <v/>
      </c>
      <c r="AG123" s="60" t="str">
        <f t="shared" si="15"/>
        <v/>
      </c>
    </row>
    <row r="124" spans="1:33" x14ac:dyDescent="0.25">
      <c r="A124" s="36">
        <v>2</v>
      </c>
      <c r="B124" s="54" t="s">
        <v>194</v>
      </c>
      <c r="C124" s="54"/>
      <c r="D124" s="54"/>
      <c r="E124" s="54"/>
      <c r="F124" s="54"/>
      <c r="G124" s="61"/>
      <c r="H124" s="54"/>
      <c r="I124" s="54"/>
      <c r="J124" s="57">
        <v>200</v>
      </c>
      <c r="K124" s="54" t="s">
        <v>56</v>
      </c>
      <c r="L124" s="54" t="s">
        <v>195</v>
      </c>
      <c r="M124" s="58">
        <v>20</v>
      </c>
      <c r="N124" s="59">
        <v>1</v>
      </c>
      <c r="O124" s="59">
        <v>4000</v>
      </c>
      <c r="P124" s="59">
        <f t="shared" si="0"/>
        <v>4000</v>
      </c>
      <c r="Q124" s="54"/>
      <c r="R124" s="54"/>
      <c r="S124" s="60" t="str">
        <f t="shared" si="1"/>
        <v/>
      </c>
      <c r="T124" s="60">
        <f t="shared" si="2"/>
        <v>4000</v>
      </c>
      <c r="U124" s="60" t="str">
        <f t="shared" si="3"/>
        <v/>
      </c>
      <c r="V124" s="60" t="str">
        <f t="shared" si="4"/>
        <v/>
      </c>
      <c r="W124" s="60" t="str">
        <f t="shared" si="5"/>
        <v/>
      </c>
      <c r="X124" s="60" t="str">
        <f t="shared" si="6"/>
        <v/>
      </c>
      <c r="Y124" s="60" t="str">
        <f t="shared" si="7"/>
        <v/>
      </c>
      <c r="Z124" s="60"/>
      <c r="AA124" s="60" t="str">
        <f t="shared" si="9"/>
        <v/>
      </c>
      <c r="AB124" s="60" t="str">
        <f t="shared" si="10"/>
        <v/>
      </c>
      <c r="AC124" s="60" t="str">
        <f t="shared" si="11"/>
        <v/>
      </c>
      <c r="AD124" s="60" t="str">
        <f t="shared" si="12"/>
        <v/>
      </c>
      <c r="AE124" s="60" t="str">
        <f t="shared" si="18"/>
        <v/>
      </c>
      <c r="AF124" s="60" t="str">
        <f t="shared" si="14"/>
        <v/>
      </c>
      <c r="AG124" s="60" t="str">
        <f t="shared" si="15"/>
        <v/>
      </c>
    </row>
    <row r="125" spans="1:33" x14ac:dyDescent="0.25">
      <c r="A125" s="36">
        <v>2</v>
      </c>
      <c r="B125" s="54" t="s">
        <v>194</v>
      </c>
      <c r="C125" s="54"/>
      <c r="D125" s="54"/>
      <c r="E125" s="54"/>
      <c r="F125" s="54"/>
      <c r="G125" s="61"/>
      <c r="H125" s="54"/>
      <c r="I125" s="54"/>
      <c r="J125" s="57">
        <v>20</v>
      </c>
      <c r="K125" s="54" t="s">
        <v>56</v>
      </c>
      <c r="L125" s="54" t="s">
        <v>196</v>
      </c>
      <c r="M125" s="58">
        <v>20</v>
      </c>
      <c r="N125" s="59">
        <v>1</v>
      </c>
      <c r="O125" s="59">
        <v>400</v>
      </c>
      <c r="P125" s="59">
        <f t="shared" si="0"/>
        <v>400</v>
      </c>
      <c r="Q125" s="54"/>
      <c r="R125" s="54"/>
      <c r="S125" s="60" t="str">
        <f t="shared" si="1"/>
        <v/>
      </c>
      <c r="T125" s="60">
        <f t="shared" si="2"/>
        <v>400</v>
      </c>
      <c r="U125" s="60" t="str">
        <f t="shared" si="3"/>
        <v/>
      </c>
      <c r="V125" s="60" t="str">
        <f t="shared" si="4"/>
        <v/>
      </c>
      <c r="W125" s="60" t="str">
        <f t="shared" si="5"/>
        <v/>
      </c>
      <c r="X125" s="60" t="str">
        <f t="shared" si="6"/>
        <v/>
      </c>
      <c r="Y125" s="60" t="str">
        <f t="shared" si="7"/>
        <v/>
      </c>
      <c r="Z125" s="60"/>
      <c r="AA125" s="60" t="str">
        <f t="shared" si="9"/>
        <v/>
      </c>
      <c r="AB125" s="60" t="str">
        <f t="shared" si="10"/>
        <v/>
      </c>
      <c r="AC125" s="60" t="str">
        <f t="shared" si="11"/>
        <v/>
      </c>
      <c r="AD125" s="60" t="str">
        <f t="shared" si="12"/>
        <v/>
      </c>
      <c r="AE125" s="60" t="str">
        <f t="shared" si="18"/>
        <v/>
      </c>
      <c r="AF125" s="60" t="str">
        <f t="shared" si="14"/>
        <v/>
      </c>
      <c r="AG125" s="60" t="str">
        <f t="shared" si="15"/>
        <v/>
      </c>
    </row>
    <row r="126" spans="1:33" x14ac:dyDescent="0.25">
      <c r="A126" s="36">
        <v>3</v>
      </c>
      <c r="B126" s="37" t="s">
        <v>51</v>
      </c>
      <c r="C126" s="38">
        <v>8126227140</v>
      </c>
      <c r="D126" s="37"/>
      <c r="E126" s="37"/>
      <c r="F126" s="40"/>
      <c r="G126" s="51">
        <v>45671</v>
      </c>
      <c r="H126" s="40"/>
      <c r="I126" s="40"/>
      <c r="J126" s="42">
        <v>1</v>
      </c>
      <c r="K126" s="43" t="s">
        <v>197</v>
      </c>
      <c r="L126" s="43" t="s">
        <v>55</v>
      </c>
      <c r="M126" s="44">
        <v>200</v>
      </c>
      <c r="N126" s="45">
        <v>1</v>
      </c>
      <c r="O126" s="45">
        <v>200</v>
      </c>
      <c r="P126" s="45">
        <f t="shared" si="0"/>
        <v>200</v>
      </c>
      <c r="Q126" s="46"/>
      <c r="R126" s="46"/>
      <c r="S126" s="47" t="str">
        <f t="shared" si="1"/>
        <v/>
      </c>
      <c r="T126" s="47" t="str">
        <f t="shared" si="2"/>
        <v/>
      </c>
      <c r="U126" s="47">
        <f t="shared" si="3"/>
        <v>200</v>
      </c>
      <c r="V126" s="47" t="str">
        <f t="shared" si="4"/>
        <v/>
      </c>
      <c r="W126" s="47" t="str">
        <f t="shared" si="5"/>
        <v/>
      </c>
      <c r="X126" s="47" t="str">
        <f t="shared" si="6"/>
        <v/>
      </c>
      <c r="Y126" s="47" t="str">
        <f t="shared" si="7"/>
        <v/>
      </c>
      <c r="Z126" s="47">
        <f t="shared" ref="Z126:Z130" si="19">IF($N126=1,$P126,"")</f>
        <v>200</v>
      </c>
      <c r="AA126" s="47" t="str">
        <f t="shared" si="9"/>
        <v/>
      </c>
      <c r="AB126" s="47" t="str">
        <f t="shared" si="10"/>
        <v/>
      </c>
      <c r="AC126" s="47" t="str">
        <f t="shared" si="11"/>
        <v/>
      </c>
      <c r="AD126" s="47" t="str">
        <f t="shared" si="12"/>
        <v/>
      </c>
      <c r="AE126" s="47" t="str">
        <f t="shared" si="18"/>
        <v/>
      </c>
      <c r="AF126" s="47" t="str">
        <f t="shared" si="14"/>
        <v/>
      </c>
      <c r="AG126" s="47" t="str">
        <f t="shared" si="15"/>
        <v/>
      </c>
    </row>
    <row r="127" spans="1:33" x14ac:dyDescent="0.25">
      <c r="A127" s="36">
        <v>3</v>
      </c>
      <c r="B127" s="37" t="s">
        <v>51</v>
      </c>
      <c r="C127" s="37"/>
      <c r="D127" s="37"/>
      <c r="E127" s="37"/>
      <c r="F127" s="40"/>
      <c r="G127" s="52"/>
      <c r="H127" s="40"/>
      <c r="I127" s="40"/>
      <c r="J127" s="42">
        <v>1</v>
      </c>
      <c r="K127" s="43" t="s">
        <v>52</v>
      </c>
      <c r="L127" s="43" t="s">
        <v>53</v>
      </c>
      <c r="M127" s="44">
        <v>150</v>
      </c>
      <c r="N127" s="45">
        <v>1</v>
      </c>
      <c r="O127" s="45">
        <v>150</v>
      </c>
      <c r="P127" s="45">
        <f t="shared" si="0"/>
        <v>150</v>
      </c>
      <c r="Q127" s="46"/>
      <c r="R127" s="46"/>
      <c r="S127" s="47" t="str">
        <f t="shared" si="1"/>
        <v/>
      </c>
      <c r="T127" s="47" t="str">
        <f t="shared" si="2"/>
        <v/>
      </c>
      <c r="U127" s="47">
        <f t="shared" si="3"/>
        <v>150</v>
      </c>
      <c r="V127" s="47" t="str">
        <f t="shared" si="4"/>
        <v/>
      </c>
      <c r="W127" s="47" t="str">
        <f t="shared" si="5"/>
        <v/>
      </c>
      <c r="X127" s="47" t="str">
        <f t="shared" si="6"/>
        <v/>
      </c>
      <c r="Y127" s="47" t="str">
        <f t="shared" si="7"/>
        <v/>
      </c>
      <c r="Z127" s="47">
        <f t="shared" si="19"/>
        <v>150</v>
      </c>
      <c r="AA127" s="47" t="str">
        <f t="shared" si="9"/>
        <v/>
      </c>
      <c r="AB127" s="47" t="str">
        <f t="shared" si="10"/>
        <v/>
      </c>
      <c r="AC127" s="47" t="str">
        <f t="shared" si="11"/>
        <v/>
      </c>
      <c r="AD127" s="47" t="str">
        <f t="shared" si="12"/>
        <v/>
      </c>
      <c r="AE127" s="47" t="str">
        <f t="shared" si="18"/>
        <v/>
      </c>
      <c r="AF127" s="47" t="str">
        <f t="shared" si="14"/>
        <v/>
      </c>
      <c r="AG127" s="47" t="str">
        <f t="shared" si="15"/>
        <v/>
      </c>
    </row>
    <row r="128" spans="1:33" x14ac:dyDescent="0.25">
      <c r="A128" s="36">
        <v>3</v>
      </c>
      <c r="B128" s="37" t="s">
        <v>198</v>
      </c>
      <c r="C128" s="38">
        <v>8116600390</v>
      </c>
      <c r="D128" s="37"/>
      <c r="E128" s="37"/>
      <c r="F128" s="40"/>
      <c r="G128" s="51">
        <v>45672</v>
      </c>
      <c r="H128" s="40"/>
      <c r="I128" s="40"/>
      <c r="J128" s="42">
        <v>40</v>
      </c>
      <c r="K128" s="43" t="s">
        <v>56</v>
      </c>
      <c r="L128" s="43" t="s">
        <v>199</v>
      </c>
      <c r="M128" s="44">
        <v>20</v>
      </c>
      <c r="N128" s="45">
        <v>1</v>
      </c>
      <c r="O128" s="45">
        <v>800</v>
      </c>
      <c r="P128" s="45">
        <f t="shared" si="0"/>
        <v>800</v>
      </c>
      <c r="Q128" s="46"/>
      <c r="R128" s="46"/>
      <c r="S128" s="47" t="str">
        <f t="shared" si="1"/>
        <v/>
      </c>
      <c r="T128" s="47" t="str">
        <f t="shared" si="2"/>
        <v/>
      </c>
      <c r="U128" s="47">
        <f t="shared" si="3"/>
        <v>800</v>
      </c>
      <c r="V128" s="47" t="str">
        <f t="shared" si="4"/>
        <v/>
      </c>
      <c r="W128" s="47" t="str">
        <f t="shared" si="5"/>
        <v/>
      </c>
      <c r="X128" s="47" t="str">
        <f t="shared" si="6"/>
        <v/>
      </c>
      <c r="Y128" s="47" t="str">
        <f t="shared" si="7"/>
        <v/>
      </c>
      <c r="Z128" s="47">
        <f t="shared" si="19"/>
        <v>800</v>
      </c>
      <c r="AA128" s="47" t="str">
        <f t="shared" si="9"/>
        <v/>
      </c>
      <c r="AB128" s="47" t="str">
        <f t="shared" si="10"/>
        <v/>
      </c>
      <c r="AC128" s="47" t="str">
        <f t="shared" si="11"/>
        <v/>
      </c>
      <c r="AD128" s="47" t="str">
        <f t="shared" si="12"/>
        <v/>
      </c>
      <c r="AE128" s="47" t="str">
        <f t="shared" si="18"/>
        <v/>
      </c>
      <c r="AF128" s="47" t="str">
        <f t="shared" si="14"/>
        <v/>
      </c>
      <c r="AG128" s="47" t="str">
        <f t="shared" si="15"/>
        <v/>
      </c>
    </row>
    <row r="129" spans="1:33" x14ac:dyDescent="0.25">
      <c r="A129" s="36">
        <v>3</v>
      </c>
      <c r="B129" s="37" t="s">
        <v>198</v>
      </c>
      <c r="C129" s="37"/>
      <c r="D129" s="37"/>
      <c r="E129" s="37"/>
      <c r="F129" s="40"/>
      <c r="G129" s="49"/>
      <c r="H129" s="40"/>
      <c r="I129" s="40"/>
      <c r="J129" s="42">
        <v>200</v>
      </c>
      <c r="K129" s="43" t="s">
        <v>56</v>
      </c>
      <c r="L129" s="43" t="s">
        <v>192</v>
      </c>
      <c r="M129" s="44">
        <v>20</v>
      </c>
      <c r="N129" s="45">
        <v>1</v>
      </c>
      <c r="O129" s="45">
        <v>4000</v>
      </c>
      <c r="P129" s="45">
        <f t="shared" si="0"/>
        <v>4000</v>
      </c>
      <c r="Q129" s="46"/>
      <c r="R129" s="46"/>
      <c r="S129" s="47" t="str">
        <f t="shared" si="1"/>
        <v/>
      </c>
      <c r="T129" s="47" t="str">
        <f t="shared" si="2"/>
        <v/>
      </c>
      <c r="U129" s="47">
        <f t="shared" si="3"/>
        <v>4000</v>
      </c>
      <c r="V129" s="47" t="str">
        <f t="shared" si="4"/>
        <v/>
      </c>
      <c r="W129" s="47" t="str">
        <f t="shared" si="5"/>
        <v/>
      </c>
      <c r="X129" s="47" t="str">
        <f t="shared" si="6"/>
        <v/>
      </c>
      <c r="Y129" s="47" t="str">
        <f t="shared" si="7"/>
        <v/>
      </c>
      <c r="Z129" s="47">
        <f t="shared" si="19"/>
        <v>4000</v>
      </c>
      <c r="AA129" s="47" t="str">
        <f t="shared" si="9"/>
        <v/>
      </c>
      <c r="AB129" s="47" t="str">
        <f t="shared" si="10"/>
        <v/>
      </c>
      <c r="AC129" s="47" t="str">
        <f t="shared" si="11"/>
        <v/>
      </c>
      <c r="AD129" s="47" t="str">
        <f t="shared" si="12"/>
        <v/>
      </c>
      <c r="AE129" s="47" t="str">
        <f t="shared" si="18"/>
        <v/>
      </c>
      <c r="AF129" s="47" t="str">
        <f t="shared" si="14"/>
        <v/>
      </c>
      <c r="AG129" s="47" t="str">
        <f t="shared" si="15"/>
        <v/>
      </c>
    </row>
    <row r="130" spans="1:33" x14ac:dyDescent="0.25">
      <c r="A130" s="36">
        <v>4</v>
      </c>
      <c r="B130" s="37" t="s">
        <v>200</v>
      </c>
      <c r="C130" s="38">
        <v>8110035262</v>
      </c>
      <c r="D130" s="37"/>
      <c r="E130" s="37"/>
      <c r="F130" s="40"/>
      <c r="G130" s="51">
        <v>45672</v>
      </c>
      <c r="H130" s="40"/>
      <c r="I130" s="40"/>
      <c r="J130" s="42">
        <v>40</v>
      </c>
      <c r="K130" s="43" t="s">
        <v>60</v>
      </c>
      <c r="L130" s="43" t="s">
        <v>201</v>
      </c>
      <c r="M130" s="44">
        <v>45</v>
      </c>
      <c r="N130" s="45">
        <v>1</v>
      </c>
      <c r="O130" s="45">
        <v>1800</v>
      </c>
      <c r="P130" s="45">
        <f t="shared" si="0"/>
        <v>1800</v>
      </c>
      <c r="Q130" s="46"/>
      <c r="R130" s="46"/>
      <c r="S130" s="47" t="str">
        <f t="shared" si="1"/>
        <v/>
      </c>
      <c r="T130" s="47" t="str">
        <f t="shared" si="2"/>
        <v/>
      </c>
      <c r="U130" s="47" t="str">
        <f t="shared" si="3"/>
        <v/>
      </c>
      <c r="V130" s="47">
        <f t="shared" si="4"/>
        <v>1800</v>
      </c>
      <c r="W130" s="47" t="str">
        <f t="shared" si="5"/>
        <v/>
      </c>
      <c r="X130" s="47" t="str">
        <f t="shared" si="6"/>
        <v/>
      </c>
      <c r="Y130" s="47" t="str">
        <f t="shared" si="7"/>
        <v/>
      </c>
      <c r="Z130" s="47">
        <f t="shared" si="19"/>
        <v>1800</v>
      </c>
      <c r="AA130" s="47" t="str">
        <f t="shared" si="9"/>
        <v/>
      </c>
      <c r="AB130" s="47" t="str">
        <f t="shared" si="10"/>
        <v/>
      </c>
      <c r="AC130" s="47" t="str">
        <f t="shared" si="11"/>
        <v/>
      </c>
      <c r="AD130" s="47" t="str">
        <f t="shared" si="12"/>
        <v/>
      </c>
      <c r="AE130" s="47" t="str">
        <f t="shared" si="18"/>
        <v/>
      </c>
      <c r="AF130" s="47" t="str">
        <f t="shared" si="14"/>
        <v/>
      </c>
      <c r="AG130" s="47" t="str">
        <f t="shared" si="15"/>
        <v/>
      </c>
    </row>
    <row r="131" spans="1:33" x14ac:dyDescent="0.25">
      <c r="A131" s="36">
        <v>2</v>
      </c>
      <c r="B131" s="54" t="s">
        <v>92</v>
      </c>
      <c r="C131" s="55">
        <v>8181850101</v>
      </c>
      <c r="D131" s="54"/>
      <c r="E131" s="54"/>
      <c r="F131" s="54"/>
      <c r="G131" s="56">
        <v>45673</v>
      </c>
      <c r="H131" s="54"/>
      <c r="I131" s="54"/>
      <c r="J131" s="57">
        <v>15</v>
      </c>
      <c r="K131" s="54" t="s">
        <v>60</v>
      </c>
      <c r="L131" s="54" t="s">
        <v>166</v>
      </c>
      <c r="M131" s="58">
        <v>39</v>
      </c>
      <c r="N131" s="59">
        <v>1</v>
      </c>
      <c r="O131" s="59">
        <v>585</v>
      </c>
      <c r="P131" s="59">
        <f t="shared" si="0"/>
        <v>585</v>
      </c>
      <c r="Q131" s="54"/>
      <c r="R131" s="54"/>
      <c r="S131" s="60" t="str">
        <f t="shared" si="1"/>
        <v/>
      </c>
      <c r="T131" s="60">
        <f t="shared" si="2"/>
        <v>585</v>
      </c>
      <c r="U131" s="60" t="str">
        <f t="shared" si="3"/>
        <v/>
      </c>
      <c r="V131" s="60" t="str">
        <f t="shared" si="4"/>
        <v/>
      </c>
      <c r="W131" s="60" t="str">
        <f t="shared" si="5"/>
        <v/>
      </c>
      <c r="X131" s="60" t="str">
        <f t="shared" si="6"/>
        <v/>
      </c>
      <c r="Y131" s="60" t="str">
        <f t="shared" si="7"/>
        <v/>
      </c>
      <c r="Z131" s="60"/>
      <c r="AA131" s="60" t="str">
        <f t="shared" si="9"/>
        <v/>
      </c>
      <c r="AB131" s="60" t="str">
        <f t="shared" si="10"/>
        <v/>
      </c>
      <c r="AC131" s="60" t="str">
        <f t="shared" si="11"/>
        <v/>
      </c>
      <c r="AD131" s="60" t="str">
        <f t="shared" si="12"/>
        <v/>
      </c>
      <c r="AE131" s="60" t="str">
        <f t="shared" si="18"/>
        <v/>
      </c>
      <c r="AF131" s="60" t="str">
        <f t="shared" si="14"/>
        <v/>
      </c>
      <c r="AG131" s="60" t="str">
        <f t="shared" si="15"/>
        <v/>
      </c>
    </row>
    <row r="132" spans="1:33" x14ac:dyDescent="0.25">
      <c r="A132" s="36">
        <v>4</v>
      </c>
      <c r="B132" s="37" t="s">
        <v>202</v>
      </c>
      <c r="C132" s="38">
        <v>8114827553</v>
      </c>
      <c r="D132" s="37"/>
      <c r="E132" s="37"/>
      <c r="F132" s="40"/>
      <c r="G132" s="51">
        <v>45674</v>
      </c>
      <c r="H132" s="40"/>
      <c r="I132" s="40"/>
      <c r="J132" s="42">
        <v>116</v>
      </c>
      <c r="K132" s="43" t="s">
        <v>60</v>
      </c>
      <c r="L132" s="43" t="s">
        <v>203</v>
      </c>
      <c r="M132" s="44">
        <v>63</v>
      </c>
      <c r="N132" s="45">
        <v>4</v>
      </c>
      <c r="O132" s="45">
        <v>7308</v>
      </c>
      <c r="P132" s="45">
        <f t="shared" si="0"/>
        <v>7308</v>
      </c>
      <c r="Q132" s="46"/>
      <c r="R132" s="46"/>
      <c r="S132" s="47" t="str">
        <f t="shared" si="1"/>
        <v/>
      </c>
      <c r="T132" s="47" t="str">
        <f t="shared" si="2"/>
        <v/>
      </c>
      <c r="U132" s="47" t="str">
        <f t="shared" si="3"/>
        <v/>
      </c>
      <c r="V132" s="47">
        <f t="shared" si="4"/>
        <v>7308</v>
      </c>
      <c r="W132" s="47" t="str">
        <f t="shared" si="5"/>
        <v/>
      </c>
      <c r="X132" s="47" t="str">
        <f t="shared" si="6"/>
        <v/>
      </c>
      <c r="Y132" s="47" t="str">
        <f t="shared" si="7"/>
        <v/>
      </c>
      <c r="Z132" s="47" t="str">
        <f t="shared" ref="Z132:Z206" si="20">IF($N132=1,$P132,"")</f>
        <v/>
      </c>
      <c r="AA132" s="47" t="str">
        <f t="shared" si="9"/>
        <v/>
      </c>
      <c r="AB132" s="47" t="str">
        <f t="shared" si="10"/>
        <v/>
      </c>
      <c r="AC132" s="47">
        <f t="shared" si="11"/>
        <v>7308</v>
      </c>
      <c r="AD132" s="47" t="str">
        <f t="shared" si="12"/>
        <v/>
      </c>
      <c r="AE132" s="47" t="str">
        <f t="shared" si="18"/>
        <v/>
      </c>
      <c r="AF132" s="47" t="str">
        <f t="shared" si="14"/>
        <v/>
      </c>
      <c r="AG132" s="47" t="str">
        <f t="shared" si="15"/>
        <v/>
      </c>
    </row>
    <row r="133" spans="1:33" x14ac:dyDescent="0.25">
      <c r="A133" s="36">
        <v>4</v>
      </c>
      <c r="B133" s="37" t="s">
        <v>202</v>
      </c>
      <c r="C133" s="37"/>
      <c r="D133" s="37"/>
      <c r="E133" s="37"/>
      <c r="F133" s="40"/>
      <c r="G133" s="49"/>
      <c r="H133" s="40"/>
      <c r="I133" s="40"/>
      <c r="J133" s="42">
        <v>6</v>
      </c>
      <c r="K133" s="43" t="s">
        <v>46</v>
      </c>
      <c r="L133" s="43" t="s">
        <v>204</v>
      </c>
      <c r="M133" s="44">
        <v>111</v>
      </c>
      <c r="N133" s="45">
        <v>4</v>
      </c>
      <c r="O133" s="45">
        <v>666</v>
      </c>
      <c r="P133" s="45">
        <f t="shared" si="0"/>
        <v>666</v>
      </c>
      <c r="Q133" s="46"/>
      <c r="R133" s="46"/>
      <c r="S133" s="47" t="str">
        <f t="shared" si="1"/>
        <v/>
      </c>
      <c r="T133" s="47" t="str">
        <f t="shared" si="2"/>
        <v/>
      </c>
      <c r="U133" s="47" t="str">
        <f t="shared" si="3"/>
        <v/>
      </c>
      <c r="V133" s="47">
        <f t="shared" si="4"/>
        <v>666</v>
      </c>
      <c r="W133" s="47" t="str">
        <f t="shared" si="5"/>
        <v/>
      </c>
      <c r="X133" s="47" t="str">
        <f t="shared" si="6"/>
        <v/>
      </c>
      <c r="Y133" s="47" t="str">
        <f t="shared" si="7"/>
        <v/>
      </c>
      <c r="Z133" s="47" t="str">
        <f t="shared" si="20"/>
        <v/>
      </c>
      <c r="AA133" s="47" t="str">
        <f t="shared" si="9"/>
        <v/>
      </c>
      <c r="AB133" s="47" t="str">
        <f t="shared" si="10"/>
        <v/>
      </c>
      <c r="AC133" s="47">
        <f t="shared" si="11"/>
        <v>666</v>
      </c>
      <c r="AD133" s="47" t="str">
        <f t="shared" si="12"/>
        <v/>
      </c>
      <c r="AE133" s="47" t="str">
        <f t="shared" si="18"/>
        <v/>
      </c>
      <c r="AF133" s="47" t="str">
        <f t="shared" si="14"/>
        <v/>
      </c>
      <c r="AG133" s="47" t="str">
        <f t="shared" si="15"/>
        <v/>
      </c>
    </row>
    <row r="134" spans="1:33" x14ac:dyDescent="0.25">
      <c r="A134" s="36">
        <v>4</v>
      </c>
      <c r="B134" s="37" t="s">
        <v>202</v>
      </c>
      <c r="C134" s="37"/>
      <c r="D134" s="37"/>
      <c r="E134" s="37"/>
      <c r="F134" s="40"/>
      <c r="G134" s="49"/>
      <c r="H134" s="40"/>
      <c r="I134" s="40"/>
      <c r="J134" s="42">
        <v>9</v>
      </c>
      <c r="K134" s="43" t="s">
        <v>97</v>
      </c>
      <c r="L134" s="43" t="s">
        <v>205</v>
      </c>
      <c r="M134" s="62">
        <v>102</v>
      </c>
      <c r="N134" s="45">
        <v>4</v>
      </c>
      <c r="O134" s="45">
        <v>918</v>
      </c>
      <c r="P134" s="45">
        <f t="shared" si="0"/>
        <v>918</v>
      </c>
      <c r="Q134" s="63"/>
      <c r="R134" s="63"/>
      <c r="S134" s="47" t="str">
        <f t="shared" si="1"/>
        <v/>
      </c>
      <c r="T134" s="47" t="str">
        <f t="shared" si="2"/>
        <v/>
      </c>
      <c r="U134" s="47" t="str">
        <f t="shared" si="3"/>
        <v/>
      </c>
      <c r="V134" s="47">
        <f t="shared" si="4"/>
        <v>918</v>
      </c>
      <c r="W134" s="47" t="str">
        <f t="shared" si="5"/>
        <v/>
      </c>
      <c r="X134" s="47" t="str">
        <f t="shared" si="6"/>
        <v/>
      </c>
      <c r="Y134" s="47" t="str">
        <f t="shared" si="7"/>
        <v/>
      </c>
      <c r="Z134" s="47" t="str">
        <f t="shared" si="20"/>
        <v/>
      </c>
      <c r="AA134" s="47" t="str">
        <f t="shared" si="9"/>
        <v/>
      </c>
      <c r="AB134" s="47" t="str">
        <f t="shared" si="10"/>
        <v/>
      </c>
      <c r="AC134" s="47">
        <f t="shared" si="11"/>
        <v>918</v>
      </c>
      <c r="AD134" s="47" t="str">
        <f t="shared" si="12"/>
        <v/>
      </c>
      <c r="AE134" s="47" t="str">
        <f t="shared" si="18"/>
        <v/>
      </c>
      <c r="AF134" s="47" t="str">
        <f t="shared" si="14"/>
        <v/>
      </c>
      <c r="AG134" s="47" t="str">
        <f t="shared" si="15"/>
        <v/>
      </c>
    </row>
    <row r="135" spans="1:33" x14ac:dyDescent="0.25">
      <c r="A135" s="36">
        <v>4</v>
      </c>
      <c r="B135" s="37" t="s">
        <v>202</v>
      </c>
      <c r="C135" s="37"/>
      <c r="D135" s="37"/>
      <c r="E135" s="37"/>
      <c r="F135" s="40"/>
      <c r="G135" s="40"/>
      <c r="H135" s="40"/>
      <c r="I135" s="40"/>
      <c r="J135" s="42">
        <v>6</v>
      </c>
      <c r="K135" s="43" t="s">
        <v>56</v>
      </c>
      <c r="L135" s="43" t="s">
        <v>206</v>
      </c>
      <c r="M135" s="62">
        <v>32</v>
      </c>
      <c r="N135" s="45">
        <v>4</v>
      </c>
      <c r="O135" s="45">
        <v>192</v>
      </c>
      <c r="P135" s="45">
        <f t="shared" si="0"/>
        <v>192</v>
      </c>
      <c r="Q135" s="46"/>
      <c r="R135" s="46"/>
      <c r="S135" s="47" t="str">
        <f t="shared" si="1"/>
        <v/>
      </c>
      <c r="T135" s="47" t="str">
        <f t="shared" si="2"/>
        <v/>
      </c>
      <c r="U135" s="47" t="str">
        <f t="shared" si="3"/>
        <v/>
      </c>
      <c r="V135" s="47">
        <f t="shared" si="4"/>
        <v>192</v>
      </c>
      <c r="W135" s="47" t="str">
        <f t="shared" si="5"/>
        <v/>
      </c>
      <c r="X135" s="47" t="str">
        <f t="shared" si="6"/>
        <v/>
      </c>
      <c r="Y135" s="47" t="str">
        <f t="shared" si="7"/>
        <v/>
      </c>
      <c r="Z135" s="47" t="str">
        <f t="shared" si="20"/>
        <v/>
      </c>
      <c r="AA135" s="47" t="str">
        <f t="shared" si="9"/>
        <v/>
      </c>
      <c r="AB135" s="47" t="str">
        <f t="shared" si="10"/>
        <v/>
      </c>
      <c r="AC135" s="47">
        <f t="shared" si="11"/>
        <v>192</v>
      </c>
      <c r="AD135" s="47" t="str">
        <f t="shared" si="12"/>
        <v/>
      </c>
      <c r="AE135" s="47" t="str">
        <f t="shared" si="18"/>
        <v/>
      </c>
      <c r="AF135" s="47" t="str">
        <f t="shared" si="14"/>
        <v/>
      </c>
      <c r="AG135" s="47" t="str">
        <f t="shared" si="15"/>
        <v/>
      </c>
    </row>
    <row r="136" spans="1:33" x14ac:dyDescent="0.25">
      <c r="A136" s="36">
        <v>4</v>
      </c>
      <c r="B136" s="37" t="s">
        <v>202</v>
      </c>
      <c r="C136" s="37"/>
      <c r="D136" s="37"/>
      <c r="E136" s="37"/>
      <c r="F136" s="40"/>
      <c r="G136" s="40"/>
      <c r="H136" s="40"/>
      <c r="I136" s="40"/>
      <c r="J136" s="42">
        <v>5</v>
      </c>
      <c r="K136" s="43" t="s">
        <v>56</v>
      </c>
      <c r="L136" s="43" t="s">
        <v>207</v>
      </c>
      <c r="M136" s="62">
        <v>399</v>
      </c>
      <c r="N136" s="45">
        <v>4</v>
      </c>
      <c r="O136" s="45">
        <v>1995</v>
      </c>
      <c r="P136" s="45">
        <f t="shared" si="0"/>
        <v>1995</v>
      </c>
      <c r="Q136" s="46"/>
      <c r="R136" s="46"/>
      <c r="S136" s="47" t="str">
        <f t="shared" si="1"/>
        <v/>
      </c>
      <c r="T136" s="47" t="str">
        <f t="shared" si="2"/>
        <v/>
      </c>
      <c r="U136" s="47" t="str">
        <f t="shared" si="3"/>
        <v/>
      </c>
      <c r="V136" s="47">
        <f t="shared" si="4"/>
        <v>1995</v>
      </c>
      <c r="W136" s="47" t="str">
        <f t="shared" si="5"/>
        <v/>
      </c>
      <c r="X136" s="47" t="str">
        <f t="shared" si="6"/>
        <v/>
      </c>
      <c r="Y136" s="47" t="str">
        <f t="shared" si="7"/>
        <v/>
      </c>
      <c r="Z136" s="47" t="str">
        <f t="shared" si="20"/>
        <v/>
      </c>
      <c r="AA136" s="47" t="str">
        <f t="shared" si="9"/>
        <v/>
      </c>
      <c r="AB136" s="47" t="str">
        <f t="shared" si="10"/>
        <v/>
      </c>
      <c r="AC136" s="47">
        <f t="shared" si="11"/>
        <v>1995</v>
      </c>
      <c r="AD136" s="47" t="str">
        <f t="shared" si="12"/>
        <v/>
      </c>
      <c r="AE136" s="47" t="str">
        <f t="shared" si="18"/>
        <v/>
      </c>
      <c r="AF136" s="47" t="str">
        <f t="shared" si="14"/>
        <v/>
      </c>
      <c r="AG136" s="47" t="str">
        <f t="shared" si="15"/>
        <v/>
      </c>
    </row>
    <row r="137" spans="1:33" x14ac:dyDescent="0.25">
      <c r="A137" s="36">
        <v>4</v>
      </c>
      <c r="B137" s="37" t="s">
        <v>202</v>
      </c>
      <c r="C137" s="37"/>
      <c r="D137" s="37"/>
      <c r="E137" s="37"/>
      <c r="F137" s="40"/>
      <c r="G137" s="40"/>
      <c r="H137" s="40"/>
      <c r="I137" s="40"/>
      <c r="J137" s="42">
        <v>10</v>
      </c>
      <c r="K137" s="43" t="s">
        <v>56</v>
      </c>
      <c r="L137" s="43" t="s">
        <v>208</v>
      </c>
      <c r="M137" s="62">
        <v>249</v>
      </c>
      <c r="N137" s="45">
        <v>4</v>
      </c>
      <c r="O137" s="45">
        <v>2490</v>
      </c>
      <c r="P137" s="45">
        <f t="shared" si="0"/>
        <v>2490</v>
      </c>
      <c r="Q137" s="46"/>
      <c r="R137" s="46"/>
      <c r="S137" s="47" t="str">
        <f t="shared" si="1"/>
        <v/>
      </c>
      <c r="T137" s="47" t="str">
        <f t="shared" si="2"/>
        <v/>
      </c>
      <c r="U137" s="47" t="str">
        <f t="shared" si="3"/>
        <v/>
      </c>
      <c r="V137" s="47">
        <f t="shared" si="4"/>
        <v>2490</v>
      </c>
      <c r="W137" s="47" t="str">
        <f t="shared" si="5"/>
        <v/>
      </c>
      <c r="X137" s="47" t="str">
        <f t="shared" si="6"/>
        <v/>
      </c>
      <c r="Y137" s="47" t="str">
        <f t="shared" si="7"/>
        <v/>
      </c>
      <c r="Z137" s="47" t="str">
        <f t="shared" si="20"/>
        <v/>
      </c>
      <c r="AA137" s="47" t="str">
        <f t="shared" si="9"/>
        <v/>
      </c>
      <c r="AB137" s="47" t="str">
        <f t="shared" si="10"/>
        <v/>
      </c>
      <c r="AC137" s="47">
        <f t="shared" si="11"/>
        <v>2490</v>
      </c>
      <c r="AD137" s="47" t="str">
        <f t="shared" si="12"/>
        <v/>
      </c>
      <c r="AE137" s="47" t="str">
        <f t="shared" si="18"/>
        <v/>
      </c>
      <c r="AF137" s="47" t="str">
        <f t="shared" si="14"/>
        <v/>
      </c>
      <c r="AG137" s="47" t="str">
        <f t="shared" si="15"/>
        <v/>
      </c>
    </row>
    <row r="138" spans="1:33" x14ac:dyDescent="0.25">
      <c r="A138" s="36">
        <v>4</v>
      </c>
      <c r="B138" s="37" t="s">
        <v>202</v>
      </c>
      <c r="C138" s="37"/>
      <c r="D138" s="37"/>
      <c r="E138" s="37"/>
      <c r="F138" s="40"/>
      <c r="G138" s="40"/>
      <c r="H138" s="40"/>
      <c r="I138" s="40"/>
      <c r="J138" s="42">
        <v>21</v>
      </c>
      <c r="K138" s="43" t="s">
        <v>56</v>
      </c>
      <c r="L138" s="43" t="s">
        <v>209</v>
      </c>
      <c r="M138" s="62">
        <v>22</v>
      </c>
      <c r="N138" s="45">
        <v>4</v>
      </c>
      <c r="O138" s="45">
        <v>462</v>
      </c>
      <c r="P138" s="45">
        <f t="shared" si="0"/>
        <v>462</v>
      </c>
      <c r="Q138" s="46"/>
      <c r="R138" s="46"/>
      <c r="S138" s="47" t="str">
        <f t="shared" si="1"/>
        <v/>
      </c>
      <c r="T138" s="47" t="str">
        <f t="shared" si="2"/>
        <v/>
      </c>
      <c r="U138" s="47" t="str">
        <f t="shared" si="3"/>
        <v/>
      </c>
      <c r="V138" s="47">
        <f t="shared" si="4"/>
        <v>462</v>
      </c>
      <c r="W138" s="47" t="str">
        <f t="shared" si="5"/>
        <v/>
      </c>
      <c r="X138" s="47" t="str">
        <f t="shared" si="6"/>
        <v/>
      </c>
      <c r="Y138" s="47" t="str">
        <f t="shared" si="7"/>
        <v/>
      </c>
      <c r="Z138" s="47" t="str">
        <f t="shared" si="20"/>
        <v/>
      </c>
      <c r="AA138" s="47" t="str">
        <f t="shared" si="9"/>
        <v/>
      </c>
      <c r="AB138" s="47" t="str">
        <f t="shared" si="10"/>
        <v/>
      </c>
      <c r="AC138" s="47">
        <f t="shared" si="11"/>
        <v>462</v>
      </c>
      <c r="AD138" s="47" t="str">
        <f t="shared" si="12"/>
        <v/>
      </c>
      <c r="AE138" s="47" t="str">
        <f t="shared" si="18"/>
        <v/>
      </c>
      <c r="AF138" s="47" t="str">
        <f t="shared" si="14"/>
        <v/>
      </c>
      <c r="AG138" s="47" t="str">
        <f t="shared" si="15"/>
        <v/>
      </c>
    </row>
    <row r="139" spans="1:33" x14ac:dyDescent="0.25">
      <c r="A139" s="36">
        <v>4</v>
      </c>
      <c r="B139" s="37" t="s">
        <v>202</v>
      </c>
      <c r="C139" s="37"/>
      <c r="D139" s="37"/>
      <c r="E139" s="37"/>
      <c r="F139" s="40"/>
      <c r="G139" s="40"/>
      <c r="H139" s="40"/>
      <c r="I139" s="40"/>
      <c r="J139" s="42">
        <v>25</v>
      </c>
      <c r="K139" s="43" t="s">
        <v>56</v>
      </c>
      <c r="L139" s="43" t="s">
        <v>210</v>
      </c>
      <c r="M139" s="62">
        <v>15</v>
      </c>
      <c r="N139" s="45">
        <v>4</v>
      </c>
      <c r="O139" s="45">
        <v>375</v>
      </c>
      <c r="P139" s="45">
        <f t="shared" si="0"/>
        <v>375</v>
      </c>
      <c r="Q139" s="46"/>
      <c r="R139" s="46"/>
      <c r="S139" s="47" t="str">
        <f t="shared" si="1"/>
        <v/>
      </c>
      <c r="T139" s="47" t="str">
        <f t="shared" si="2"/>
        <v/>
      </c>
      <c r="U139" s="47" t="str">
        <f t="shared" si="3"/>
        <v/>
      </c>
      <c r="V139" s="47">
        <f t="shared" si="4"/>
        <v>375</v>
      </c>
      <c r="W139" s="47" t="str">
        <f t="shared" si="5"/>
        <v/>
      </c>
      <c r="X139" s="47" t="str">
        <f t="shared" si="6"/>
        <v/>
      </c>
      <c r="Y139" s="47" t="str">
        <f t="shared" si="7"/>
        <v/>
      </c>
      <c r="Z139" s="47" t="str">
        <f t="shared" si="20"/>
        <v/>
      </c>
      <c r="AA139" s="47" t="str">
        <f t="shared" si="9"/>
        <v/>
      </c>
      <c r="AB139" s="47" t="str">
        <f t="shared" si="10"/>
        <v/>
      </c>
      <c r="AC139" s="47">
        <f t="shared" si="11"/>
        <v>375</v>
      </c>
      <c r="AD139" s="47" t="str">
        <f t="shared" si="12"/>
        <v/>
      </c>
      <c r="AE139" s="47" t="str">
        <f t="shared" si="18"/>
        <v/>
      </c>
      <c r="AF139" s="47" t="str">
        <f t="shared" si="14"/>
        <v/>
      </c>
      <c r="AG139" s="47" t="str">
        <f t="shared" si="15"/>
        <v/>
      </c>
    </row>
    <row r="140" spans="1:33" x14ac:dyDescent="0.25">
      <c r="A140" s="36">
        <v>4</v>
      </c>
      <c r="B140" s="37" t="s">
        <v>202</v>
      </c>
      <c r="C140" s="37"/>
      <c r="D140" s="37"/>
      <c r="E140" s="37"/>
      <c r="F140" s="40"/>
      <c r="G140" s="40"/>
      <c r="H140" s="40"/>
      <c r="I140" s="40"/>
      <c r="J140" s="42">
        <v>4</v>
      </c>
      <c r="K140" s="43" t="s">
        <v>97</v>
      </c>
      <c r="L140" s="43" t="s">
        <v>211</v>
      </c>
      <c r="M140" s="62">
        <v>25</v>
      </c>
      <c r="N140" s="45">
        <v>1</v>
      </c>
      <c r="O140" s="45">
        <v>100</v>
      </c>
      <c r="P140" s="45">
        <f t="shared" si="0"/>
        <v>100</v>
      </c>
      <c r="Q140" s="46"/>
      <c r="R140" s="46"/>
      <c r="S140" s="47" t="str">
        <f t="shared" si="1"/>
        <v/>
      </c>
      <c r="T140" s="47" t="str">
        <f t="shared" si="2"/>
        <v/>
      </c>
      <c r="U140" s="47" t="str">
        <f t="shared" si="3"/>
        <v/>
      </c>
      <c r="V140" s="47">
        <f t="shared" si="4"/>
        <v>100</v>
      </c>
      <c r="W140" s="47" t="str">
        <f t="shared" si="5"/>
        <v/>
      </c>
      <c r="X140" s="47" t="str">
        <f t="shared" si="6"/>
        <v/>
      </c>
      <c r="Y140" s="47" t="str">
        <f t="shared" si="7"/>
        <v/>
      </c>
      <c r="Z140" s="47">
        <f t="shared" si="20"/>
        <v>100</v>
      </c>
      <c r="AA140" s="47" t="str">
        <f t="shared" si="9"/>
        <v/>
      </c>
      <c r="AB140" s="47" t="str">
        <f t="shared" si="10"/>
        <v/>
      </c>
      <c r="AC140" s="47" t="str">
        <f t="shared" si="11"/>
        <v/>
      </c>
      <c r="AD140" s="47" t="str">
        <f t="shared" si="12"/>
        <v/>
      </c>
      <c r="AE140" s="47" t="str">
        <f t="shared" si="18"/>
        <v/>
      </c>
      <c r="AF140" s="47" t="str">
        <f t="shared" si="14"/>
        <v/>
      </c>
      <c r="AG140" s="47" t="str">
        <f t="shared" si="15"/>
        <v/>
      </c>
    </row>
    <row r="141" spans="1:33" x14ac:dyDescent="0.25">
      <c r="A141" s="36">
        <v>4</v>
      </c>
      <c r="B141" s="37" t="s">
        <v>202</v>
      </c>
      <c r="C141" s="37"/>
      <c r="D141" s="37"/>
      <c r="E141" s="37"/>
      <c r="F141" s="40"/>
      <c r="G141" s="40"/>
      <c r="H141" s="40"/>
      <c r="I141" s="40"/>
      <c r="J141" s="42">
        <v>10</v>
      </c>
      <c r="K141" s="43" t="s">
        <v>56</v>
      </c>
      <c r="L141" s="43" t="s">
        <v>212</v>
      </c>
      <c r="M141" s="62">
        <v>180</v>
      </c>
      <c r="N141" s="45">
        <v>1</v>
      </c>
      <c r="O141" s="45">
        <v>1800</v>
      </c>
      <c r="P141" s="45">
        <f t="shared" si="0"/>
        <v>1800</v>
      </c>
      <c r="Q141" s="46"/>
      <c r="R141" s="46"/>
      <c r="S141" s="47" t="str">
        <f t="shared" si="1"/>
        <v/>
      </c>
      <c r="T141" s="47" t="str">
        <f t="shared" si="2"/>
        <v/>
      </c>
      <c r="U141" s="47" t="str">
        <f t="shared" si="3"/>
        <v/>
      </c>
      <c r="V141" s="47">
        <f t="shared" si="4"/>
        <v>1800</v>
      </c>
      <c r="W141" s="47" t="str">
        <f t="shared" si="5"/>
        <v/>
      </c>
      <c r="X141" s="47" t="str">
        <f t="shared" si="6"/>
        <v/>
      </c>
      <c r="Y141" s="47" t="str">
        <f t="shared" si="7"/>
        <v/>
      </c>
      <c r="Z141" s="47">
        <f t="shared" si="20"/>
        <v>1800</v>
      </c>
      <c r="AA141" s="47" t="str">
        <f t="shared" si="9"/>
        <v/>
      </c>
      <c r="AB141" s="47" t="str">
        <f t="shared" si="10"/>
        <v/>
      </c>
      <c r="AC141" s="47" t="str">
        <f t="shared" si="11"/>
        <v/>
      </c>
      <c r="AD141" s="47" t="str">
        <f t="shared" si="12"/>
        <v/>
      </c>
      <c r="AE141" s="47" t="str">
        <f t="shared" si="18"/>
        <v/>
      </c>
      <c r="AF141" s="47" t="str">
        <f t="shared" si="14"/>
        <v/>
      </c>
      <c r="AG141" s="47" t="str">
        <f t="shared" si="15"/>
        <v/>
      </c>
    </row>
    <row r="142" spans="1:33" x14ac:dyDescent="0.25">
      <c r="A142" s="36">
        <v>4</v>
      </c>
      <c r="B142" s="37" t="s">
        <v>202</v>
      </c>
      <c r="C142" s="37"/>
      <c r="D142" s="37"/>
      <c r="E142" s="37"/>
      <c r="F142" s="40"/>
      <c r="G142" s="40"/>
      <c r="H142" s="40"/>
      <c r="I142" s="40"/>
      <c r="J142" s="42">
        <v>5</v>
      </c>
      <c r="K142" s="43" t="s">
        <v>56</v>
      </c>
      <c r="L142" s="43" t="s">
        <v>213</v>
      </c>
      <c r="M142" s="62">
        <v>185</v>
      </c>
      <c r="N142" s="45">
        <v>1</v>
      </c>
      <c r="O142" s="45">
        <v>925</v>
      </c>
      <c r="P142" s="45">
        <f t="shared" si="0"/>
        <v>925</v>
      </c>
      <c r="Q142" s="46"/>
      <c r="R142" s="46"/>
      <c r="S142" s="47" t="str">
        <f t="shared" si="1"/>
        <v/>
      </c>
      <c r="T142" s="47" t="str">
        <f t="shared" si="2"/>
        <v/>
      </c>
      <c r="U142" s="47" t="str">
        <f t="shared" si="3"/>
        <v/>
      </c>
      <c r="V142" s="47">
        <f t="shared" si="4"/>
        <v>925</v>
      </c>
      <c r="W142" s="47" t="str">
        <f t="shared" si="5"/>
        <v/>
      </c>
      <c r="X142" s="47" t="str">
        <f t="shared" si="6"/>
        <v/>
      </c>
      <c r="Y142" s="47" t="str">
        <f t="shared" si="7"/>
        <v/>
      </c>
      <c r="Z142" s="47">
        <f t="shared" si="20"/>
        <v>925</v>
      </c>
      <c r="AA142" s="47" t="str">
        <f t="shared" si="9"/>
        <v/>
      </c>
      <c r="AB142" s="47" t="str">
        <f t="shared" si="10"/>
        <v/>
      </c>
      <c r="AC142" s="47" t="str">
        <f t="shared" si="11"/>
        <v/>
      </c>
      <c r="AD142" s="47" t="str">
        <f t="shared" si="12"/>
        <v/>
      </c>
      <c r="AE142" s="47" t="str">
        <f t="shared" si="18"/>
        <v/>
      </c>
      <c r="AF142" s="47" t="str">
        <f t="shared" si="14"/>
        <v/>
      </c>
      <c r="AG142" s="47" t="str">
        <f t="shared" si="15"/>
        <v/>
      </c>
    </row>
    <row r="143" spans="1:33" x14ac:dyDescent="0.25">
      <c r="A143" s="36">
        <v>4</v>
      </c>
      <c r="B143" s="37" t="s">
        <v>202</v>
      </c>
      <c r="C143" s="37"/>
      <c r="D143" s="37"/>
      <c r="E143" s="37"/>
      <c r="F143" s="40"/>
      <c r="G143" s="40"/>
      <c r="H143" s="40"/>
      <c r="I143" s="40"/>
      <c r="J143" s="42">
        <v>1</v>
      </c>
      <c r="K143" s="43" t="s">
        <v>214</v>
      </c>
      <c r="L143" s="43" t="s">
        <v>215</v>
      </c>
      <c r="M143" s="62">
        <v>229</v>
      </c>
      <c r="N143" s="45">
        <v>1</v>
      </c>
      <c r="O143" s="45">
        <v>229</v>
      </c>
      <c r="P143" s="45">
        <f t="shared" si="0"/>
        <v>229</v>
      </c>
      <c r="Q143" s="46"/>
      <c r="R143" s="46"/>
      <c r="S143" s="47" t="str">
        <f t="shared" si="1"/>
        <v/>
      </c>
      <c r="T143" s="47" t="str">
        <f t="shared" si="2"/>
        <v/>
      </c>
      <c r="U143" s="47" t="str">
        <f t="shared" si="3"/>
        <v/>
      </c>
      <c r="V143" s="47">
        <f t="shared" si="4"/>
        <v>229</v>
      </c>
      <c r="W143" s="47" t="str">
        <f t="shared" si="5"/>
        <v/>
      </c>
      <c r="X143" s="47" t="str">
        <f t="shared" si="6"/>
        <v/>
      </c>
      <c r="Y143" s="47" t="str">
        <f t="shared" si="7"/>
        <v/>
      </c>
      <c r="Z143" s="47">
        <f t="shared" si="20"/>
        <v>229</v>
      </c>
      <c r="AA143" s="47" t="str">
        <f t="shared" si="9"/>
        <v/>
      </c>
      <c r="AB143" s="47" t="str">
        <f t="shared" si="10"/>
        <v/>
      </c>
      <c r="AC143" s="47" t="str">
        <f t="shared" si="11"/>
        <v/>
      </c>
      <c r="AD143" s="47" t="str">
        <f t="shared" si="12"/>
        <v/>
      </c>
      <c r="AE143" s="47" t="str">
        <f t="shared" si="18"/>
        <v/>
      </c>
      <c r="AF143" s="47" t="str">
        <f t="shared" si="14"/>
        <v/>
      </c>
      <c r="AG143" s="47" t="str">
        <f t="shared" si="15"/>
        <v/>
      </c>
    </row>
    <row r="144" spans="1:33" x14ac:dyDescent="0.25">
      <c r="A144" s="36">
        <v>4</v>
      </c>
      <c r="B144" s="37" t="s">
        <v>202</v>
      </c>
      <c r="C144" s="37"/>
      <c r="D144" s="37"/>
      <c r="E144" s="37"/>
      <c r="F144" s="40"/>
      <c r="G144" s="40"/>
      <c r="H144" s="40"/>
      <c r="I144" s="40"/>
      <c r="J144" s="42">
        <v>1</v>
      </c>
      <c r="K144" s="43" t="s">
        <v>82</v>
      </c>
      <c r="L144" s="43" t="s">
        <v>216</v>
      </c>
      <c r="M144" s="62">
        <v>152</v>
      </c>
      <c r="N144" s="45">
        <v>1</v>
      </c>
      <c r="O144" s="45">
        <v>152</v>
      </c>
      <c r="P144" s="45">
        <f t="shared" si="0"/>
        <v>152</v>
      </c>
      <c r="Q144" s="46"/>
      <c r="R144" s="46"/>
      <c r="S144" s="47" t="str">
        <f t="shared" si="1"/>
        <v/>
      </c>
      <c r="T144" s="47" t="str">
        <f t="shared" si="2"/>
        <v/>
      </c>
      <c r="U144" s="47" t="str">
        <f t="shared" si="3"/>
        <v/>
      </c>
      <c r="V144" s="47">
        <f t="shared" si="4"/>
        <v>152</v>
      </c>
      <c r="W144" s="47" t="str">
        <f t="shared" si="5"/>
        <v/>
      </c>
      <c r="X144" s="47" t="str">
        <f t="shared" si="6"/>
        <v/>
      </c>
      <c r="Y144" s="47" t="str">
        <f t="shared" si="7"/>
        <v/>
      </c>
      <c r="Z144" s="47">
        <f t="shared" si="20"/>
        <v>152</v>
      </c>
      <c r="AA144" s="47" t="str">
        <f t="shared" si="9"/>
        <v/>
      </c>
      <c r="AB144" s="47" t="str">
        <f t="shared" si="10"/>
        <v/>
      </c>
      <c r="AC144" s="47" t="str">
        <f t="shared" si="11"/>
        <v/>
      </c>
      <c r="AD144" s="47" t="str">
        <f t="shared" si="12"/>
        <v/>
      </c>
      <c r="AE144" s="47" t="str">
        <f t="shared" si="18"/>
        <v/>
      </c>
      <c r="AF144" s="47" t="str">
        <f t="shared" si="14"/>
        <v/>
      </c>
      <c r="AG144" s="47" t="str">
        <f t="shared" si="15"/>
        <v/>
      </c>
    </row>
    <row r="145" spans="1:33" x14ac:dyDescent="0.25">
      <c r="A145" s="36">
        <v>4</v>
      </c>
      <c r="B145" s="37" t="s">
        <v>202</v>
      </c>
      <c r="C145" s="37"/>
      <c r="D145" s="37"/>
      <c r="E145" s="37"/>
      <c r="F145" s="40"/>
      <c r="G145" s="40"/>
      <c r="H145" s="40"/>
      <c r="I145" s="40"/>
      <c r="J145" s="42">
        <v>5</v>
      </c>
      <c r="K145" s="43" t="s">
        <v>56</v>
      </c>
      <c r="L145" s="43" t="s">
        <v>217</v>
      </c>
      <c r="M145" s="62">
        <v>189</v>
      </c>
      <c r="N145" s="45">
        <v>3</v>
      </c>
      <c r="O145" s="45">
        <v>945</v>
      </c>
      <c r="P145" s="45">
        <f t="shared" si="0"/>
        <v>945</v>
      </c>
      <c r="Q145" s="46"/>
      <c r="R145" s="46"/>
      <c r="S145" s="47" t="str">
        <f t="shared" si="1"/>
        <v/>
      </c>
      <c r="T145" s="47" t="str">
        <f t="shared" si="2"/>
        <v/>
      </c>
      <c r="U145" s="47" t="str">
        <f t="shared" si="3"/>
        <v/>
      </c>
      <c r="V145" s="47">
        <f t="shared" si="4"/>
        <v>945</v>
      </c>
      <c r="W145" s="47" t="str">
        <f t="shared" si="5"/>
        <v/>
      </c>
      <c r="X145" s="47" t="str">
        <f t="shared" si="6"/>
        <v/>
      </c>
      <c r="Y145" s="47" t="str">
        <f t="shared" si="7"/>
        <v/>
      </c>
      <c r="Z145" s="47" t="str">
        <f t="shared" si="20"/>
        <v/>
      </c>
      <c r="AA145" s="47" t="str">
        <f t="shared" si="9"/>
        <v/>
      </c>
      <c r="AB145" s="47">
        <f t="shared" si="10"/>
        <v>945</v>
      </c>
      <c r="AC145" s="47" t="str">
        <f t="shared" si="11"/>
        <v/>
      </c>
      <c r="AD145" s="47" t="str">
        <f t="shared" si="12"/>
        <v/>
      </c>
      <c r="AE145" s="47" t="str">
        <f t="shared" si="18"/>
        <v/>
      </c>
      <c r="AF145" s="47" t="str">
        <f t="shared" si="14"/>
        <v/>
      </c>
      <c r="AG145" s="47" t="str">
        <f t="shared" si="15"/>
        <v/>
      </c>
    </row>
    <row r="146" spans="1:33" x14ac:dyDescent="0.25">
      <c r="A146" s="36">
        <v>4</v>
      </c>
      <c r="B146" s="37" t="s">
        <v>202</v>
      </c>
      <c r="C146" s="37"/>
      <c r="D146" s="37"/>
      <c r="E146" s="37"/>
      <c r="F146" s="40"/>
      <c r="G146" s="40"/>
      <c r="H146" s="40"/>
      <c r="I146" s="40"/>
      <c r="J146" s="42">
        <v>5</v>
      </c>
      <c r="K146" s="43" t="s">
        <v>56</v>
      </c>
      <c r="L146" s="43" t="s">
        <v>218</v>
      </c>
      <c r="M146" s="62">
        <v>146</v>
      </c>
      <c r="N146" s="45">
        <v>2</v>
      </c>
      <c r="O146" s="45">
        <v>730</v>
      </c>
      <c r="P146" s="45">
        <f t="shared" si="0"/>
        <v>730</v>
      </c>
      <c r="Q146" s="46"/>
      <c r="R146" s="46"/>
      <c r="S146" s="47" t="str">
        <f t="shared" si="1"/>
        <v/>
      </c>
      <c r="T146" s="47" t="str">
        <f t="shared" si="2"/>
        <v/>
      </c>
      <c r="U146" s="47" t="str">
        <f t="shared" si="3"/>
        <v/>
      </c>
      <c r="V146" s="47">
        <f t="shared" si="4"/>
        <v>730</v>
      </c>
      <c r="W146" s="47" t="str">
        <f t="shared" si="5"/>
        <v/>
      </c>
      <c r="X146" s="47" t="str">
        <f t="shared" si="6"/>
        <v/>
      </c>
      <c r="Y146" s="47" t="str">
        <f t="shared" si="7"/>
        <v/>
      </c>
      <c r="Z146" s="47" t="str">
        <f t="shared" si="20"/>
        <v/>
      </c>
      <c r="AA146" s="47">
        <f t="shared" si="9"/>
        <v>730</v>
      </c>
      <c r="AB146" s="47" t="str">
        <f t="shared" si="10"/>
        <v/>
      </c>
      <c r="AC146" s="47" t="str">
        <f t="shared" si="11"/>
        <v/>
      </c>
      <c r="AD146" s="47" t="str">
        <f t="shared" si="12"/>
        <v/>
      </c>
      <c r="AE146" s="47" t="str">
        <f t="shared" si="18"/>
        <v/>
      </c>
      <c r="AF146" s="47" t="str">
        <f t="shared" si="14"/>
        <v/>
      </c>
      <c r="AG146" s="47" t="str">
        <f t="shared" si="15"/>
        <v/>
      </c>
    </row>
    <row r="147" spans="1:33" x14ac:dyDescent="0.25">
      <c r="A147" s="36">
        <v>4</v>
      </c>
      <c r="B147" s="37" t="s">
        <v>202</v>
      </c>
      <c r="C147" s="37"/>
      <c r="D147" s="37"/>
      <c r="E147" s="37"/>
      <c r="F147" s="40"/>
      <c r="G147" s="40"/>
      <c r="H147" s="40"/>
      <c r="I147" s="40"/>
      <c r="J147" s="42">
        <v>6</v>
      </c>
      <c r="K147" s="43" t="s">
        <v>56</v>
      </c>
      <c r="L147" s="43" t="s">
        <v>219</v>
      </c>
      <c r="M147" s="62">
        <v>142</v>
      </c>
      <c r="N147" s="45">
        <v>3</v>
      </c>
      <c r="O147" s="45">
        <v>852</v>
      </c>
      <c r="P147" s="45">
        <f t="shared" si="0"/>
        <v>852</v>
      </c>
      <c r="Q147" s="46"/>
      <c r="R147" s="46"/>
      <c r="S147" s="47" t="str">
        <f t="shared" si="1"/>
        <v/>
      </c>
      <c r="T147" s="47" t="str">
        <f t="shared" si="2"/>
        <v/>
      </c>
      <c r="U147" s="47" t="str">
        <f t="shared" si="3"/>
        <v/>
      </c>
      <c r="V147" s="47">
        <f t="shared" si="4"/>
        <v>852</v>
      </c>
      <c r="W147" s="47" t="str">
        <f t="shared" si="5"/>
        <v/>
      </c>
      <c r="X147" s="47" t="str">
        <f t="shared" si="6"/>
        <v/>
      </c>
      <c r="Y147" s="47" t="str">
        <f t="shared" si="7"/>
        <v/>
      </c>
      <c r="Z147" s="47" t="str">
        <f t="shared" si="20"/>
        <v/>
      </c>
      <c r="AA147" s="47" t="str">
        <f t="shared" si="9"/>
        <v/>
      </c>
      <c r="AB147" s="47">
        <f t="shared" si="10"/>
        <v>852</v>
      </c>
      <c r="AC147" s="47" t="str">
        <f t="shared" si="11"/>
        <v/>
      </c>
      <c r="AD147" s="47" t="str">
        <f t="shared" si="12"/>
        <v/>
      </c>
      <c r="AE147" s="47" t="str">
        <f t="shared" si="18"/>
        <v/>
      </c>
      <c r="AF147" s="47" t="str">
        <f t="shared" si="14"/>
        <v/>
      </c>
      <c r="AG147" s="47" t="str">
        <f t="shared" si="15"/>
        <v/>
      </c>
    </row>
    <row r="148" spans="1:33" x14ac:dyDescent="0.25">
      <c r="A148" s="36">
        <v>3</v>
      </c>
      <c r="B148" s="37" t="s">
        <v>220</v>
      </c>
      <c r="C148" s="38">
        <v>8111799981</v>
      </c>
      <c r="D148" s="37"/>
      <c r="E148" s="37"/>
      <c r="F148" s="40"/>
      <c r="G148" s="51">
        <v>45674</v>
      </c>
      <c r="H148" s="40"/>
      <c r="I148" s="40"/>
      <c r="J148" s="42">
        <v>20</v>
      </c>
      <c r="K148" s="43" t="s">
        <v>60</v>
      </c>
      <c r="L148" s="43" t="s">
        <v>221</v>
      </c>
      <c r="M148" s="62">
        <v>152.6</v>
      </c>
      <c r="N148" s="45">
        <v>1</v>
      </c>
      <c r="O148" s="45">
        <v>3052</v>
      </c>
      <c r="P148" s="45">
        <f t="shared" si="0"/>
        <v>3052</v>
      </c>
      <c r="Q148" s="46"/>
      <c r="R148" s="46"/>
      <c r="S148" s="47" t="str">
        <f t="shared" si="1"/>
        <v/>
      </c>
      <c r="T148" s="47" t="str">
        <f t="shared" si="2"/>
        <v/>
      </c>
      <c r="U148" s="47">
        <f t="shared" si="3"/>
        <v>3052</v>
      </c>
      <c r="V148" s="47" t="str">
        <f t="shared" si="4"/>
        <v/>
      </c>
      <c r="W148" s="47" t="str">
        <f t="shared" si="5"/>
        <v/>
      </c>
      <c r="X148" s="47" t="str">
        <f t="shared" si="6"/>
        <v/>
      </c>
      <c r="Y148" s="47" t="str">
        <f t="shared" si="7"/>
        <v/>
      </c>
      <c r="Z148" s="47">
        <f t="shared" si="20"/>
        <v>3052</v>
      </c>
      <c r="AA148" s="47" t="str">
        <f t="shared" si="9"/>
        <v/>
      </c>
      <c r="AB148" s="47" t="str">
        <f t="shared" si="10"/>
        <v/>
      </c>
      <c r="AC148" s="47" t="str">
        <f t="shared" si="11"/>
        <v/>
      </c>
      <c r="AD148" s="47" t="str">
        <f t="shared" si="12"/>
        <v/>
      </c>
      <c r="AE148" s="47" t="str">
        <f t="shared" si="18"/>
        <v/>
      </c>
      <c r="AF148" s="47" t="str">
        <f t="shared" si="14"/>
        <v/>
      </c>
      <c r="AG148" s="47" t="str">
        <f t="shared" si="15"/>
        <v/>
      </c>
    </row>
    <row r="149" spans="1:33" x14ac:dyDescent="0.25">
      <c r="A149" s="36">
        <v>3</v>
      </c>
      <c r="B149" s="37" t="s">
        <v>222</v>
      </c>
      <c r="C149" s="38">
        <v>8120752579</v>
      </c>
      <c r="D149" s="37"/>
      <c r="E149" s="37"/>
      <c r="F149" s="40"/>
      <c r="G149" s="51">
        <v>45675</v>
      </c>
      <c r="H149" s="40"/>
      <c r="I149" s="40"/>
      <c r="J149" s="42">
        <v>12</v>
      </c>
      <c r="K149" s="43" t="s">
        <v>74</v>
      </c>
      <c r="L149" s="43" t="s">
        <v>223</v>
      </c>
      <c r="M149" s="62">
        <v>370</v>
      </c>
      <c r="N149" s="45">
        <v>1</v>
      </c>
      <c r="O149" s="45">
        <v>4440</v>
      </c>
      <c r="P149" s="45">
        <f t="shared" si="0"/>
        <v>4440</v>
      </c>
      <c r="Q149" s="46"/>
      <c r="R149" s="46"/>
      <c r="S149" s="47" t="str">
        <f t="shared" si="1"/>
        <v/>
      </c>
      <c r="T149" s="47" t="str">
        <f t="shared" si="2"/>
        <v/>
      </c>
      <c r="U149" s="47">
        <f t="shared" si="3"/>
        <v>4440</v>
      </c>
      <c r="V149" s="47" t="str">
        <f t="shared" si="4"/>
        <v/>
      </c>
      <c r="W149" s="47" t="str">
        <f t="shared" si="5"/>
        <v/>
      </c>
      <c r="X149" s="47" t="str">
        <f t="shared" si="6"/>
        <v/>
      </c>
      <c r="Y149" s="47" t="str">
        <f t="shared" si="7"/>
        <v/>
      </c>
      <c r="Z149" s="47">
        <f t="shared" si="20"/>
        <v>4440</v>
      </c>
      <c r="AA149" s="47" t="str">
        <f t="shared" si="9"/>
        <v/>
      </c>
      <c r="AB149" s="47" t="str">
        <f t="shared" si="10"/>
        <v/>
      </c>
      <c r="AC149" s="47" t="str">
        <f t="shared" si="11"/>
        <v/>
      </c>
      <c r="AD149" s="47" t="str">
        <f t="shared" si="12"/>
        <v/>
      </c>
      <c r="AE149" s="47" t="str">
        <f t="shared" si="18"/>
        <v/>
      </c>
      <c r="AF149" s="47" t="str">
        <f t="shared" si="14"/>
        <v/>
      </c>
      <c r="AG149" s="47" t="str">
        <f t="shared" si="15"/>
        <v/>
      </c>
    </row>
    <row r="150" spans="1:33" x14ac:dyDescent="0.25">
      <c r="A150" s="36">
        <v>3</v>
      </c>
      <c r="B150" s="37" t="s">
        <v>222</v>
      </c>
      <c r="C150" s="37"/>
      <c r="D150" s="37"/>
      <c r="E150" s="37"/>
      <c r="F150" s="40"/>
      <c r="G150" s="52"/>
      <c r="H150" s="40"/>
      <c r="I150" s="40"/>
      <c r="J150" s="42">
        <v>2</v>
      </c>
      <c r="K150" s="43" t="s">
        <v>74</v>
      </c>
      <c r="L150" s="43" t="s">
        <v>224</v>
      </c>
      <c r="M150" s="62">
        <v>30</v>
      </c>
      <c r="N150" s="45">
        <v>1</v>
      </c>
      <c r="O150" s="45">
        <v>60</v>
      </c>
      <c r="P150" s="45">
        <f t="shared" si="0"/>
        <v>60</v>
      </c>
      <c r="Q150" s="46"/>
      <c r="R150" s="46"/>
      <c r="S150" s="47" t="str">
        <f t="shared" si="1"/>
        <v/>
      </c>
      <c r="T150" s="47" t="str">
        <f t="shared" si="2"/>
        <v/>
      </c>
      <c r="U150" s="47">
        <f t="shared" si="3"/>
        <v>60</v>
      </c>
      <c r="V150" s="47" t="str">
        <f t="shared" si="4"/>
        <v/>
      </c>
      <c r="W150" s="47" t="str">
        <f t="shared" si="5"/>
        <v/>
      </c>
      <c r="X150" s="47" t="str">
        <f t="shared" si="6"/>
        <v/>
      </c>
      <c r="Y150" s="47" t="str">
        <f t="shared" si="7"/>
        <v/>
      </c>
      <c r="Z150" s="47">
        <f t="shared" si="20"/>
        <v>60</v>
      </c>
      <c r="AA150" s="47" t="str">
        <f t="shared" si="9"/>
        <v/>
      </c>
      <c r="AB150" s="47" t="str">
        <f t="shared" si="10"/>
        <v/>
      </c>
      <c r="AC150" s="47" t="str">
        <f t="shared" si="11"/>
        <v/>
      </c>
      <c r="AD150" s="47" t="str">
        <f t="shared" si="12"/>
        <v/>
      </c>
      <c r="AE150" s="47" t="str">
        <f t="shared" si="18"/>
        <v/>
      </c>
      <c r="AF150" s="47" t="str">
        <f t="shared" si="14"/>
        <v/>
      </c>
      <c r="AG150" s="47" t="str">
        <f t="shared" si="15"/>
        <v/>
      </c>
    </row>
    <row r="151" spans="1:33" x14ac:dyDescent="0.25">
      <c r="A151" s="36">
        <v>3</v>
      </c>
      <c r="B151" s="37" t="s">
        <v>222</v>
      </c>
      <c r="C151" s="37"/>
      <c r="D151" s="37"/>
      <c r="E151" s="37"/>
      <c r="F151" s="40"/>
      <c r="G151" s="49"/>
      <c r="H151" s="40"/>
      <c r="I151" s="40"/>
      <c r="J151" s="42">
        <v>3</v>
      </c>
      <c r="K151" s="43" t="s">
        <v>82</v>
      </c>
      <c r="L151" s="43" t="s">
        <v>225</v>
      </c>
      <c r="M151" s="62">
        <v>80</v>
      </c>
      <c r="N151" s="45">
        <v>1</v>
      </c>
      <c r="O151" s="45">
        <v>240</v>
      </c>
      <c r="P151" s="45">
        <f t="shared" si="0"/>
        <v>240</v>
      </c>
      <c r="Q151" s="46"/>
      <c r="R151" s="46"/>
      <c r="S151" s="47" t="str">
        <f t="shared" si="1"/>
        <v/>
      </c>
      <c r="T151" s="47" t="str">
        <f t="shared" si="2"/>
        <v/>
      </c>
      <c r="U151" s="47">
        <f t="shared" si="3"/>
        <v>240</v>
      </c>
      <c r="V151" s="47" t="str">
        <f t="shared" si="4"/>
        <v/>
      </c>
      <c r="W151" s="47" t="str">
        <f t="shared" si="5"/>
        <v/>
      </c>
      <c r="X151" s="47" t="str">
        <f t="shared" si="6"/>
        <v/>
      </c>
      <c r="Y151" s="47" t="str">
        <f t="shared" si="7"/>
        <v/>
      </c>
      <c r="Z151" s="47">
        <f t="shared" si="20"/>
        <v>240</v>
      </c>
      <c r="AA151" s="47" t="str">
        <f t="shared" si="9"/>
        <v/>
      </c>
      <c r="AB151" s="47" t="str">
        <f t="shared" si="10"/>
        <v/>
      </c>
      <c r="AC151" s="47" t="str">
        <f t="shared" si="11"/>
        <v/>
      </c>
      <c r="AD151" s="47" t="str">
        <f t="shared" si="12"/>
        <v/>
      </c>
      <c r="AE151" s="47" t="str">
        <f t="shared" si="18"/>
        <v/>
      </c>
      <c r="AF151" s="47" t="str">
        <f t="shared" si="14"/>
        <v/>
      </c>
      <c r="AG151" s="47" t="str">
        <f t="shared" si="15"/>
        <v/>
      </c>
    </row>
    <row r="152" spans="1:33" x14ac:dyDescent="0.25">
      <c r="A152" s="36">
        <v>3</v>
      </c>
      <c r="B152" s="37" t="s">
        <v>222</v>
      </c>
      <c r="C152" s="37"/>
      <c r="D152" s="37"/>
      <c r="E152" s="37"/>
      <c r="F152" s="40"/>
      <c r="G152" s="49"/>
      <c r="H152" s="40"/>
      <c r="I152" s="40"/>
      <c r="J152" s="42">
        <v>1</v>
      </c>
      <c r="K152" s="43" t="s">
        <v>214</v>
      </c>
      <c r="L152" s="43" t="s">
        <v>226</v>
      </c>
      <c r="M152" s="62">
        <v>25</v>
      </c>
      <c r="N152" s="45">
        <v>1</v>
      </c>
      <c r="O152" s="45">
        <v>25</v>
      </c>
      <c r="P152" s="45">
        <f t="shared" si="0"/>
        <v>25</v>
      </c>
      <c r="Q152" s="46"/>
      <c r="R152" s="46"/>
      <c r="S152" s="47" t="str">
        <f t="shared" si="1"/>
        <v/>
      </c>
      <c r="T152" s="47" t="str">
        <f t="shared" si="2"/>
        <v/>
      </c>
      <c r="U152" s="47">
        <f t="shared" si="3"/>
        <v>25</v>
      </c>
      <c r="V152" s="47" t="str">
        <f t="shared" si="4"/>
        <v/>
      </c>
      <c r="W152" s="47" t="str">
        <f t="shared" si="5"/>
        <v/>
      </c>
      <c r="X152" s="47" t="str">
        <f t="shared" si="6"/>
        <v/>
      </c>
      <c r="Y152" s="47" t="str">
        <f t="shared" si="7"/>
        <v/>
      </c>
      <c r="Z152" s="47">
        <f t="shared" si="20"/>
        <v>25</v>
      </c>
      <c r="AA152" s="47" t="str">
        <f t="shared" si="9"/>
        <v/>
      </c>
      <c r="AB152" s="47" t="str">
        <f t="shared" si="10"/>
        <v/>
      </c>
      <c r="AC152" s="47" t="str">
        <f t="shared" si="11"/>
        <v/>
      </c>
      <c r="AD152" s="47" t="str">
        <f t="shared" si="12"/>
        <v/>
      </c>
      <c r="AE152" s="47" t="str">
        <f t="shared" si="18"/>
        <v/>
      </c>
      <c r="AF152" s="47" t="str">
        <f t="shared" si="14"/>
        <v/>
      </c>
      <c r="AG152" s="47" t="str">
        <f t="shared" si="15"/>
        <v/>
      </c>
    </row>
    <row r="153" spans="1:33" x14ac:dyDescent="0.25">
      <c r="A153" s="36">
        <v>3</v>
      </c>
      <c r="B153" s="37" t="s">
        <v>222</v>
      </c>
      <c r="C153" s="37"/>
      <c r="D153" s="37"/>
      <c r="E153" s="37"/>
      <c r="F153" s="40"/>
      <c r="G153" s="49"/>
      <c r="H153" s="40"/>
      <c r="I153" s="40"/>
      <c r="J153" s="42">
        <v>17</v>
      </c>
      <c r="K153" s="43" t="s">
        <v>107</v>
      </c>
      <c r="L153" s="43" t="s">
        <v>227</v>
      </c>
      <c r="M153" s="62">
        <v>42</v>
      </c>
      <c r="N153" s="45">
        <v>1</v>
      </c>
      <c r="O153" s="45">
        <v>714</v>
      </c>
      <c r="P153" s="45">
        <f t="shared" si="0"/>
        <v>714</v>
      </c>
      <c r="Q153" s="46"/>
      <c r="R153" s="46"/>
      <c r="S153" s="47" t="str">
        <f t="shared" si="1"/>
        <v/>
      </c>
      <c r="T153" s="47" t="str">
        <f t="shared" si="2"/>
        <v/>
      </c>
      <c r="U153" s="47">
        <f t="shared" si="3"/>
        <v>714</v>
      </c>
      <c r="V153" s="47" t="str">
        <f t="shared" si="4"/>
        <v/>
      </c>
      <c r="W153" s="47" t="str">
        <f t="shared" si="5"/>
        <v/>
      </c>
      <c r="X153" s="47" t="str">
        <f t="shared" si="6"/>
        <v/>
      </c>
      <c r="Y153" s="47" t="str">
        <f t="shared" si="7"/>
        <v/>
      </c>
      <c r="Z153" s="47">
        <f t="shared" si="20"/>
        <v>714</v>
      </c>
      <c r="AA153" s="47" t="str">
        <f t="shared" si="9"/>
        <v/>
      </c>
      <c r="AB153" s="47" t="str">
        <f t="shared" si="10"/>
        <v/>
      </c>
      <c r="AC153" s="47" t="str">
        <f t="shared" si="11"/>
        <v/>
      </c>
      <c r="AD153" s="47" t="str">
        <f t="shared" si="12"/>
        <v/>
      </c>
      <c r="AE153" s="47" t="str">
        <f t="shared" si="18"/>
        <v/>
      </c>
      <c r="AF153" s="47" t="str">
        <f t="shared" si="14"/>
        <v/>
      </c>
      <c r="AG153" s="47" t="str">
        <f t="shared" si="15"/>
        <v/>
      </c>
    </row>
    <row r="154" spans="1:33" x14ac:dyDescent="0.25">
      <c r="A154" s="36">
        <v>3</v>
      </c>
      <c r="B154" s="37" t="s">
        <v>222</v>
      </c>
      <c r="C154" s="37"/>
      <c r="D154" s="37"/>
      <c r="E154" s="37"/>
      <c r="F154" s="40"/>
      <c r="G154" s="49"/>
      <c r="H154" s="40"/>
      <c r="I154" s="40"/>
      <c r="J154" s="42">
        <v>6</v>
      </c>
      <c r="K154" s="43" t="s">
        <v>56</v>
      </c>
      <c r="L154" s="43" t="s">
        <v>228</v>
      </c>
      <c r="M154" s="62">
        <v>12</v>
      </c>
      <c r="N154" s="45">
        <v>1</v>
      </c>
      <c r="O154" s="45">
        <v>72</v>
      </c>
      <c r="P154" s="45">
        <f t="shared" si="0"/>
        <v>72</v>
      </c>
      <c r="Q154" s="46"/>
      <c r="R154" s="46"/>
      <c r="S154" s="47" t="str">
        <f t="shared" si="1"/>
        <v/>
      </c>
      <c r="T154" s="47" t="str">
        <f t="shared" si="2"/>
        <v/>
      </c>
      <c r="U154" s="47">
        <f t="shared" si="3"/>
        <v>72</v>
      </c>
      <c r="V154" s="47" t="str">
        <f t="shared" si="4"/>
        <v/>
      </c>
      <c r="W154" s="47" t="str">
        <f t="shared" si="5"/>
        <v/>
      </c>
      <c r="X154" s="47" t="str">
        <f t="shared" si="6"/>
        <v/>
      </c>
      <c r="Y154" s="47" t="str">
        <f t="shared" si="7"/>
        <v/>
      </c>
      <c r="Z154" s="47">
        <f t="shared" si="20"/>
        <v>72</v>
      </c>
      <c r="AA154" s="47" t="str">
        <f t="shared" si="9"/>
        <v/>
      </c>
      <c r="AB154" s="47" t="str">
        <f t="shared" si="10"/>
        <v/>
      </c>
      <c r="AC154" s="47" t="str">
        <f t="shared" si="11"/>
        <v/>
      </c>
      <c r="AD154" s="47" t="str">
        <f t="shared" si="12"/>
        <v/>
      </c>
      <c r="AE154" s="47" t="str">
        <f t="shared" si="18"/>
        <v/>
      </c>
      <c r="AF154" s="47" t="str">
        <f t="shared" si="14"/>
        <v/>
      </c>
      <c r="AG154" s="47" t="str">
        <f t="shared" si="15"/>
        <v/>
      </c>
    </row>
    <row r="155" spans="1:33" x14ac:dyDescent="0.25">
      <c r="A155" s="36">
        <v>3</v>
      </c>
      <c r="B155" s="37" t="s">
        <v>222</v>
      </c>
      <c r="C155" s="37"/>
      <c r="D155" s="37"/>
      <c r="E155" s="37"/>
      <c r="F155" s="40"/>
      <c r="G155" s="49"/>
      <c r="H155" s="40"/>
      <c r="I155" s="40"/>
      <c r="J155" s="42">
        <v>3</v>
      </c>
      <c r="K155" s="43" t="s">
        <v>56</v>
      </c>
      <c r="L155" s="43" t="s">
        <v>229</v>
      </c>
      <c r="M155" s="62">
        <v>26</v>
      </c>
      <c r="N155" s="45">
        <v>1</v>
      </c>
      <c r="O155" s="45">
        <v>78</v>
      </c>
      <c r="P155" s="45">
        <f t="shared" si="0"/>
        <v>78</v>
      </c>
      <c r="Q155" s="46"/>
      <c r="R155" s="46"/>
      <c r="S155" s="47" t="str">
        <f t="shared" si="1"/>
        <v/>
      </c>
      <c r="T155" s="47" t="str">
        <f t="shared" si="2"/>
        <v/>
      </c>
      <c r="U155" s="47">
        <f t="shared" si="3"/>
        <v>78</v>
      </c>
      <c r="V155" s="47" t="str">
        <f t="shared" si="4"/>
        <v/>
      </c>
      <c r="W155" s="47" t="str">
        <f t="shared" si="5"/>
        <v/>
      </c>
      <c r="X155" s="47" t="str">
        <f t="shared" si="6"/>
        <v/>
      </c>
      <c r="Y155" s="47" t="str">
        <f t="shared" si="7"/>
        <v/>
      </c>
      <c r="Z155" s="47">
        <f t="shared" si="20"/>
        <v>78</v>
      </c>
      <c r="AA155" s="47" t="str">
        <f t="shared" si="9"/>
        <v/>
      </c>
      <c r="AB155" s="47" t="str">
        <f t="shared" si="10"/>
        <v/>
      </c>
      <c r="AC155" s="47" t="str">
        <f t="shared" si="11"/>
        <v/>
      </c>
      <c r="AD155" s="47" t="str">
        <f t="shared" si="12"/>
        <v/>
      </c>
      <c r="AE155" s="47" t="str">
        <f t="shared" si="18"/>
        <v/>
      </c>
      <c r="AF155" s="47" t="str">
        <f t="shared" si="14"/>
        <v/>
      </c>
      <c r="AG155" s="47" t="str">
        <f t="shared" si="15"/>
        <v/>
      </c>
    </row>
    <row r="156" spans="1:33" x14ac:dyDescent="0.25">
      <c r="A156" s="36">
        <v>3</v>
      </c>
      <c r="B156" s="37" t="s">
        <v>222</v>
      </c>
      <c r="C156" s="37"/>
      <c r="D156" s="37"/>
      <c r="E156" s="37"/>
      <c r="F156" s="40"/>
      <c r="G156" s="49"/>
      <c r="H156" s="40"/>
      <c r="I156" s="40"/>
      <c r="J156" s="42">
        <v>2</v>
      </c>
      <c r="K156" s="43" t="s">
        <v>56</v>
      </c>
      <c r="L156" s="43" t="s">
        <v>230</v>
      </c>
      <c r="M156" s="62">
        <v>14</v>
      </c>
      <c r="N156" s="45">
        <v>1</v>
      </c>
      <c r="O156" s="45">
        <v>28</v>
      </c>
      <c r="P156" s="45">
        <f t="shared" si="0"/>
        <v>28</v>
      </c>
      <c r="Q156" s="46"/>
      <c r="R156" s="46"/>
      <c r="S156" s="47" t="str">
        <f t="shared" si="1"/>
        <v/>
      </c>
      <c r="T156" s="47" t="str">
        <f t="shared" si="2"/>
        <v/>
      </c>
      <c r="U156" s="47">
        <f t="shared" si="3"/>
        <v>28</v>
      </c>
      <c r="V156" s="47" t="str">
        <f t="shared" si="4"/>
        <v/>
      </c>
      <c r="W156" s="47" t="str">
        <f t="shared" si="5"/>
        <v/>
      </c>
      <c r="X156" s="47" t="str">
        <f t="shared" si="6"/>
        <v/>
      </c>
      <c r="Y156" s="47" t="str">
        <f t="shared" si="7"/>
        <v/>
      </c>
      <c r="Z156" s="47">
        <f t="shared" si="20"/>
        <v>28</v>
      </c>
      <c r="AA156" s="47" t="str">
        <f t="shared" si="9"/>
        <v/>
      </c>
      <c r="AB156" s="47" t="str">
        <f t="shared" si="10"/>
        <v/>
      </c>
      <c r="AC156" s="47" t="str">
        <f t="shared" si="11"/>
        <v/>
      </c>
      <c r="AD156" s="47" t="str">
        <f t="shared" si="12"/>
        <v/>
      </c>
      <c r="AE156" s="47" t="str">
        <f t="shared" si="18"/>
        <v/>
      </c>
      <c r="AF156" s="47" t="str">
        <f t="shared" si="14"/>
        <v/>
      </c>
      <c r="AG156" s="47" t="str">
        <f t="shared" si="15"/>
        <v/>
      </c>
    </row>
    <row r="157" spans="1:33" x14ac:dyDescent="0.25">
      <c r="A157" s="36">
        <v>3</v>
      </c>
      <c r="B157" s="37" t="s">
        <v>222</v>
      </c>
      <c r="C157" s="37"/>
      <c r="D157" s="37"/>
      <c r="E157" s="37"/>
      <c r="F157" s="40"/>
      <c r="G157" s="49"/>
      <c r="H157" s="40"/>
      <c r="I157" s="40"/>
      <c r="J157" s="42">
        <v>3</v>
      </c>
      <c r="K157" s="43" t="s">
        <v>82</v>
      </c>
      <c r="L157" s="43" t="s">
        <v>231</v>
      </c>
      <c r="M157" s="62">
        <v>47</v>
      </c>
      <c r="N157" s="45">
        <v>1</v>
      </c>
      <c r="O157" s="45">
        <v>141</v>
      </c>
      <c r="P157" s="45">
        <f t="shared" si="0"/>
        <v>141</v>
      </c>
      <c r="Q157" s="46"/>
      <c r="R157" s="46"/>
      <c r="S157" s="47" t="str">
        <f t="shared" si="1"/>
        <v/>
      </c>
      <c r="T157" s="47" t="str">
        <f t="shared" si="2"/>
        <v/>
      </c>
      <c r="U157" s="47">
        <f t="shared" si="3"/>
        <v>141</v>
      </c>
      <c r="V157" s="47" t="str">
        <f t="shared" si="4"/>
        <v/>
      </c>
      <c r="W157" s="47" t="str">
        <f t="shared" si="5"/>
        <v/>
      </c>
      <c r="X157" s="47" t="str">
        <f t="shared" si="6"/>
        <v/>
      </c>
      <c r="Y157" s="47" t="str">
        <f t="shared" si="7"/>
        <v/>
      </c>
      <c r="Z157" s="47">
        <f t="shared" si="20"/>
        <v>141</v>
      </c>
      <c r="AA157" s="47" t="str">
        <f t="shared" si="9"/>
        <v/>
      </c>
      <c r="AB157" s="47" t="str">
        <f t="shared" si="10"/>
        <v/>
      </c>
      <c r="AC157" s="47" t="str">
        <f t="shared" si="11"/>
        <v/>
      </c>
      <c r="AD157" s="47" t="str">
        <f t="shared" si="12"/>
        <v/>
      </c>
      <c r="AE157" s="47" t="str">
        <f t="shared" si="18"/>
        <v/>
      </c>
      <c r="AF157" s="47" t="str">
        <f t="shared" si="14"/>
        <v/>
      </c>
      <c r="AG157" s="47" t="str">
        <f t="shared" si="15"/>
        <v/>
      </c>
    </row>
    <row r="158" spans="1:33" x14ac:dyDescent="0.25">
      <c r="A158" s="36">
        <v>3</v>
      </c>
      <c r="B158" s="37" t="s">
        <v>222</v>
      </c>
      <c r="C158" s="37"/>
      <c r="D158" s="37"/>
      <c r="E158" s="37"/>
      <c r="F158" s="40"/>
      <c r="G158" s="49"/>
      <c r="H158" s="40"/>
      <c r="I158" s="40"/>
      <c r="J158" s="42">
        <v>1</v>
      </c>
      <c r="K158" s="43" t="s">
        <v>52</v>
      </c>
      <c r="L158" s="43" t="s">
        <v>232</v>
      </c>
      <c r="M158" s="62">
        <v>28</v>
      </c>
      <c r="N158" s="45">
        <v>1</v>
      </c>
      <c r="O158" s="45">
        <v>28</v>
      </c>
      <c r="P158" s="45">
        <f t="shared" si="0"/>
        <v>28</v>
      </c>
      <c r="Q158" s="46"/>
      <c r="R158" s="46"/>
      <c r="S158" s="47" t="str">
        <f t="shared" si="1"/>
        <v/>
      </c>
      <c r="T158" s="47" t="str">
        <f t="shared" si="2"/>
        <v/>
      </c>
      <c r="U158" s="47">
        <f t="shared" si="3"/>
        <v>28</v>
      </c>
      <c r="V158" s="47" t="str">
        <f t="shared" si="4"/>
        <v/>
      </c>
      <c r="W158" s="47" t="str">
        <f t="shared" si="5"/>
        <v/>
      </c>
      <c r="X158" s="47" t="str">
        <f t="shared" si="6"/>
        <v/>
      </c>
      <c r="Y158" s="47" t="str">
        <f t="shared" si="7"/>
        <v/>
      </c>
      <c r="Z158" s="47">
        <f t="shared" si="20"/>
        <v>28</v>
      </c>
      <c r="AA158" s="47" t="str">
        <f t="shared" si="9"/>
        <v/>
      </c>
      <c r="AB158" s="47" t="str">
        <f t="shared" si="10"/>
        <v/>
      </c>
      <c r="AC158" s="47" t="str">
        <f t="shared" si="11"/>
        <v/>
      </c>
      <c r="AD158" s="47" t="str">
        <f t="shared" si="12"/>
        <v/>
      </c>
      <c r="AE158" s="47" t="str">
        <f t="shared" si="18"/>
        <v/>
      </c>
      <c r="AF158" s="47" t="str">
        <f t="shared" si="14"/>
        <v/>
      </c>
      <c r="AG158" s="47" t="str">
        <f t="shared" si="15"/>
        <v/>
      </c>
    </row>
    <row r="159" spans="1:33" x14ac:dyDescent="0.25">
      <c r="A159" s="36">
        <v>3</v>
      </c>
      <c r="B159" s="37" t="s">
        <v>222</v>
      </c>
      <c r="C159" s="37"/>
      <c r="D159" s="37"/>
      <c r="E159" s="37"/>
      <c r="F159" s="40"/>
      <c r="G159" s="49"/>
      <c r="H159" s="40"/>
      <c r="I159" s="40"/>
      <c r="J159" s="42">
        <v>1</v>
      </c>
      <c r="K159" s="43" t="s">
        <v>56</v>
      </c>
      <c r="L159" s="43" t="s">
        <v>233</v>
      </c>
      <c r="M159" s="62">
        <v>16</v>
      </c>
      <c r="N159" s="45">
        <v>1</v>
      </c>
      <c r="O159" s="45">
        <v>16</v>
      </c>
      <c r="P159" s="45">
        <f t="shared" si="0"/>
        <v>16</v>
      </c>
      <c r="Q159" s="46"/>
      <c r="R159" s="46"/>
      <c r="S159" s="47" t="str">
        <f t="shared" si="1"/>
        <v/>
      </c>
      <c r="T159" s="47" t="str">
        <f t="shared" si="2"/>
        <v/>
      </c>
      <c r="U159" s="47">
        <f t="shared" si="3"/>
        <v>16</v>
      </c>
      <c r="V159" s="47" t="str">
        <f t="shared" si="4"/>
        <v/>
      </c>
      <c r="W159" s="47" t="str">
        <f t="shared" si="5"/>
        <v/>
      </c>
      <c r="X159" s="47" t="str">
        <f t="shared" si="6"/>
        <v/>
      </c>
      <c r="Y159" s="47" t="str">
        <f t="shared" si="7"/>
        <v/>
      </c>
      <c r="Z159" s="47">
        <f t="shared" si="20"/>
        <v>16</v>
      </c>
      <c r="AA159" s="47" t="str">
        <f t="shared" si="9"/>
        <v/>
      </c>
      <c r="AB159" s="47" t="str">
        <f t="shared" si="10"/>
        <v/>
      </c>
      <c r="AC159" s="47" t="str">
        <f t="shared" si="11"/>
        <v/>
      </c>
      <c r="AD159" s="47" t="str">
        <f t="shared" si="12"/>
        <v/>
      </c>
      <c r="AE159" s="47" t="str">
        <f t="shared" si="18"/>
        <v/>
      </c>
      <c r="AF159" s="47" t="str">
        <f t="shared" si="14"/>
        <v/>
      </c>
      <c r="AG159" s="47" t="str">
        <f t="shared" si="15"/>
        <v/>
      </c>
    </row>
    <row r="160" spans="1:33" x14ac:dyDescent="0.25">
      <c r="A160" s="36">
        <v>3</v>
      </c>
      <c r="B160" s="37" t="s">
        <v>222</v>
      </c>
      <c r="C160" s="37"/>
      <c r="D160" s="37"/>
      <c r="E160" s="37"/>
      <c r="F160" s="40"/>
      <c r="G160" s="49"/>
      <c r="H160" s="40"/>
      <c r="I160" s="40"/>
      <c r="J160" s="42">
        <v>5</v>
      </c>
      <c r="K160" s="43" t="s">
        <v>82</v>
      </c>
      <c r="L160" s="43" t="s">
        <v>234</v>
      </c>
      <c r="M160" s="62">
        <v>39</v>
      </c>
      <c r="N160" s="45">
        <v>1</v>
      </c>
      <c r="O160" s="45">
        <v>195</v>
      </c>
      <c r="P160" s="45">
        <f t="shared" si="0"/>
        <v>195</v>
      </c>
      <c r="Q160" s="46"/>
      <c r="R160" s="46"/>
      <c r="S160" s="47" t="str">
        <f t="shared" si="1"/>
        <v/>
      </c>
      <c r="T160" s="47" t="str">
        <f t="shared" si="2"/>
        <v/>
      </c>
      <c r="U160" s="47">
        <f t="shared" si="3"/>
        <v>195</v>
      </c>
      <c r="V160" s="47" t="str">
        <f t="shared" si="4"/>
        <v/>
      </c>
      <c r="W160" s="47" t="str">
        <f t="shared" si="5"/>
        <v/>
      </c>
      <c r="X160" s="47" t="str">
        <f t="shared" si="6"/>
        <v/>
      </c>
      <c r="Y160" s="47" t="str">
        <f t="shared" si="7"/>
        <v/>
      </c>
      <c r="Z160" s="47">
        <f t="shared" si="20"/>
        <v>195</v>
      </c>
      <c r="AA160" s="47" t="str">
        <f t="shared" si="9"/>
        <v/>
      </c>
      <c r="AB160" s="47" t="str">
        <f t="shared" si="10"/>
        <v/>
      </c>
      <c r="AC160" s="47" t="str">
        <f t="shared" si="11"/>
        <v/>
      </c>
      <c r="AD160" s="47" t="str">
        <f t="shared" si="12"/>
        <v/>
      </c>
      <c r="AE160" s="47" t="str">
        <f t="shared" si="18"/>
        <v/>
      </c>
      <c r="AF160" s="47" t="str">
        <f t="shared" si="14"/>
        <v/>
      </c>
      <c r="AG160" s="47" t="str">
        <f t="shared" si="15"/>
        <v/>
      </c>
    </row>
    <row r="161" spans="1:33" x14ac:dyDescent="0.25">
      <c r="A161" s="36">
        <v>3</v>
      </c>
      <c r="B161" s="37" t="s">
        <v>222</v>
      </c>
      <c r="C161" s="37"/>
      <c r="D161" s="37"/>
      <c r="E161" s="37"/>
      <c r="F161" s="40"/>
      <c r="G161" s="49"/>
      <c r="H161" s="40"/>
      <c r="I161" s="40"/>
      <c r="J161" s="42">
        <v>7</v>
      </c>
      <c r="K161" s="43" t="s">
        <v>82</v>
      </c>
      <c r="L161" s="43" t="s">
        <v>235</v>
      </c>
      <c r="M161" s="62">
        <v>40</v>
      </c>
      <c r="N161" s="45">
        <v>1</v>
      </c>
      <c r="O161" s="45">
        <v>280</v>
      </c>
      <c r="P161" s="45">
        <f t="shared" si="0"/>
        <v>280</v>
      </c>
      <c r="Q161" s="46"/>
      <c r="R161" s="46"/>
      <c r="S161" s="47" t="str">
        <f t="shared" si="1"/>
        <v/>
      </c>
      <c r="T161" s="47" t="str">
        <f t="shared" si="2"/>
        <v/>
      </c>
      <c r="U161" s="47">
        <f t="shared" si="3"/>
        <v>280</v>
      </c>
      <c r="V161" s="47" t="str">
        <f t="shared" si="4"/>
        <v/>
      </c>
      <c r="W161" s="47" t="str">
        <f t="shared" si="5"/>
        <v/>
      </c>
      <c r="X161" s="47" t="str">
        <f t="shared" si="6"/>
        <v/>
      </c>
      <c r="Y161" s="47" t="str">
        <f t="shared" si="7"/>
        <v/>
      </c>
      <c r="Z161" s="47">
        <f t="shared" si="20"/>
        <v>280</v>
      </c>
      <c r="AA161" s="47" t="str">
        <f t="shared" si="9"/>
        <v/>
      </c>
      <c r="AB161" s="47" t="str">
        <f t="shared" si="10"/>
        <v/>
      </c>
      <c r="AC161" s="47" t="str">
        <f t="shared" si="11"/>
        <v/>
      </c>
      <c r="AD161" s="47" t="str">
        <f t="shared" si="12"/>
        <v/>
      </c>
      <c r="AE161" s="47" t="str">
        <f t="shared" si="18"/>
        <v/>
      </c>
      <c r="AF161" s="47" t="str">
        <f t="shared" si="14"/>
        <v/>
      </c>
      <c r="AG161" s="47" t="str">
        <f t="shared" si="15"/>
        <v/>
      </c>
    </row>
    <row r="162" spans="1:33" x14ac:dyDescent="0.25">
      <c r="A162" s="36">
        <v>3</v>
      </c>
      <c r="B162" s="37" t="s">
        <v>222</v>
      </c>
      <c r="C162" s="37"/>
      <c r="D162" s="37"/>
      <c r="E162" s="37"/>
      <c r="F162" s="40"/>
      <c r="G162" s="49"/>
      <c r="H162" s="40"/>
      <c r="I162" s="40"/>
      <c r="J162" s="42">
        <v>4</v>
      </c>
      <c r="K162" s="43" t="s">
        <v>82</v>
      </c>
      <c r="L162" s="43" t="s">
        <v>236</v>
      </c>
      <c r="M162" s="62">
        <v>14</v>
      </c>
      <c r="N162" s="45">
        <v>1</v>
      </c>
      <c r="O162" s="45">
        <v>56</v>
      </c>
      <c r="P162" s="45">
        <f t="shared" si="0"/>
        <v>56</v>
      </c>
      <c r="Q162" s="46"/>
      <c r="R162" s="46"/>
      <c r="S162" s="47" t="str">
        <f t="shared" si="1"/>
        <v/>
      </c>
      <c r="T162" s="47" t="str">
        <f t="shared" si="2"/>
        <v/>
      </c>
      <c r="U162" s="47">
        <f t="shared" si="3"/>
        <v>56</v>
      </c>
      <c r="V162" s="47" t="str">
        <f t="shared" si="4"/>
        <v/>
      </c>
      <c r="W162" s="47" t="str">
        <f t="shared" si="5"/>
        <v/>
      </c>
      <c r="X162" s="47" t="str">
        <f t="shared" si="6"/>
        <v/>
      </c>
      <c r="Y162" s="47" t="str">
        <f t="shared" si="7"/>
        <v/>
      </c>
      <c r="Z162" s="47">
        <f t="shared" si="20"/>
        <v>56</v>
      </c>
      <c r="AA162" s="47" t="str">
        <f t="shared" si="9"/>
        <v/>
      </c>
      <c r="AB162" s="47" t="str">
        <f t="shared" si="10"/>
        <v/>
      </c>
      <c r="AC162" s="47" t="str">
        <f t="shared" si="11"/>
        <v/>
      </c>
      <c r="AD162" s="47" t="str">
        <f t="shared" si="12"/>
        <v/>
      </c>
      <c r="AE162" s="47" t="str">
        <f t="shared" si="18"/>
        <v/>
      </c>
      <c r="AF162" s="47" t="str">
        <f t="shared" si="14"/>
        <v/>
      </c>
      <c r="AG162" s="47" t="str">
        <f t="shared" si="15"/>
        <v/>
      </c>
    </row>
    <row r="163" spans="1:33" x14ac:dyDescent="0.25">
      <c r="A163" s="36">
        <v>3</v>
      </c>
      <c r="B163" s="37" t="s">
        <v>222</v>
      </c>
      <c r="C163" s="37"/>
      <c r="D163" s="37"/>
      <c r="E163" s="37"/>
      <c r="F163" s="40"/>
      <c r="G163" s="49"/>
      <c r="H163" s="40"/>
      <c r="I163" s="40"/>
      <c r="J163" s="42">
        <v>3</v>
      </c>
      <c r="K163" s="43" t="s">
        <v>97</v>
      </c>
      <c r="L163" s="43" t="s">
        <v>237</v>
      </c>
      <c r="M163" s="62">
        <v>32</v>
      </c>
      <c r="N163" s="45">
        <v>1</v>
      </c>
      <c r="O163" s="45">
        <v>96</v>
      </c>
      <c r="P163" s="45">
        <f t="shared" si="0"/>
        <v>96</v>
      </c>
      <c r="Q163" s="46"/>
      <c r="R163" s="46"/>
      <c r="S163" s="47" t="str">
        <f t="shared" si="1"/>
        <v/>
      </c>
      <c r="T163" s="47" t="str">
        <f t="shared" si="2"/>
        <v/>
      </c>
      <c r="U163" s="47">
        <f t="shared" si="3"/>
        <v>96</v>
      </c>
      <c r="V163" s="47" t="str">
        <f t="shared" si="4"/>
        <v/>
      </c>
      <c r="W163" s="47" t="str">
        <f t="shared" si="5"/>
        <v/>
      </c>
      <c r="X163" s="47" t="str">
        <f t="shared" si="6"/>
        <v/>
      </c>
      <c r="Y163" s="47" t="str">
        <f t="shared" si="7"/>
        <v/>
      </c>
      <c r="Z163" s="47">
        <f t="shared" si="20"/>
        <v>96</v>
      </c>
      <c r="AA163" s="47" t="str">
        <f t="shared" si="9"/>
        <v/>
      </c>
      <c r="AB163" s="47" t="str">
        <f t="shared" si="10"/>
        <v/>
      </c>
      <c r="AC163" s="47" t="str">
        <f t="shared" si="11"/>
        <v/>
      </c>
      <c r="AD163" s="47" t="str">
        <f t="shared" si="12"/>
        <v/>
      </c>
      <c r="AE163" s="47" t="str">
        <f t="shared" si="18"/>
        <v/>
      </c>
      <c r="AF163" s="47" t="str">
        <f t="shared" si="14"/>
        <v/>
      </c>
      <c r="AG163" s="47" t="str">
        <f t="shared" si="15"/>
        <v/>
      </c>
    </row>
    <row r="164" spans="1:33" x14ac:dyDescent="0.25">
      <c r="A164" s="36">
        <v>3</v>
      </c>
      <c r="B164" s="37" t="s">
        <v>222</v>
      </c>
      <c r="C164" s="37"/>
      <c r="D164" s="37"/>
      <c r="E164" s="37"/>
      <c r="F164" s="40"/>
      <c r="G164" s="49"/>
      <c r="H164" s="40"/>
      <c r="I164" s="40"/>
      <c r="J164" s="42">
        <v>2</v>
      </c>
      <c r="K164" s="43" t="s">
        <v>56</v>
      </c>
      <c r="L164" s="43" t="s">
        <v>238</v>
      </c>
      <c r="M164" s="62">
        <v>8</v>
      </c>
      <c r="N164" s="45">
        <v>1</v>
      </c>
      <c r="O164" s="45">
        <v>16</v>
      </c>
      <c r="P164" s="45">
        <f t="shared" si="0"/>
        <v>16</v>
      </c>
      <c r="Q164" s="46"/>
      <c r="R164" s="46"/>
      <c r="S164" s="47" t="str">
        <f t="shared" si="1"/>
        <v/>
      </c>
      <c r="T164" s="47" t="str">
        <f t="shared" si="2"/>
        <v/>
      </c>
      <c r="U164" s="47">
        <f t="shared" si="3"/>
        <v>16</v>
      </c>
      <c r="V164" s="47" t="str">
        <f t="shared" si="4"/>
        <v/>
      </c>
      <c r="W164" s="47" t="str">
        <f t="shared" si="5"/>
        <v/>
      </c>
      <c r="X164" s="47" t="str">
        <f t="shared" si="6"/>
        <v/>
      </c>
      <c r="Y164" s="47" t="str">
        <f t="shared" si="7"/>
        <v/>
      </c>
      <c r="Z164" s="47">
        <f t="shared" si="20"/>
        <v>16</v>
      </c>
      <c r="AA164" s="47" t="str">
        <f t="shared" si="9"/>
        <v/>
      </c>
      <c r="AB164" s="47" t="str">
        <f t="shared" si="10"/>
        <v/>
      </c>
      <c r="AC164" s="47" t="str">
        <f t="shared" si="11"/>
        <v/>
      </c>
      <c r="AD164" s="47" t="str">
        <f t="shared" si="12"/>
        <v/>
      </c>
      <c r="AE164" s="47" t="str">
        <f t="shared" si="18"/>
        <v/>
      </c>
      <c r="AF164" s="47" t="str">
        <f t="shared" si="14"/>
        <v/>
      </c>
      <c r="AG164" s="47" t="str">
        <f t="shared" si="15"/>
        <v/>
      </c>
    </row>
    <row r="165" spans="1:33" x14ac:dyDescent="0.25">
      <c r="A165" s="36">
        <v>3</v>
      </c>
      <c r="B165" s="37" t="s">
        <v>222</v>
      </c>
      <c r="C165" s="37"/>
      <c r="D165" s="37"/>
      <c r="E165" s="37"/>
      <c r="F165" s="40"/>
      <c r="G165" s="49"/>
      <c r="H165" s="40"/>
      <c r="I165" s="40"/>
      <c r="J165" s="42">
        <v>4</v>
      </c>
      <c r="K165" s="43" t="s">
        <v>56</v>
      </c>
      <c r="L165" s="43" t="s">
        <v>239</v>
      </c>
      <c r="M165" s="62">
        <v>8</v>
      </c>
      <c r="N165" s="45">
        <v>1</v>
      </c>
      <c r="O165" s="45">
        <v>32</v>
      </c>
      <c r="P165" s="45">
        <f t="shared" si="0"/>
        <v>32</v>
      </c>
      <c r="Q165" s="46"/>
      <c r="R165" s="46"/>
      <c r="S165" s="47" t="str">
        <f t="shared" si="1"/>
        <v/>
      </c>
      <c r="T165" s="47" t="str">
        <f t="shared" si="2"/>
        <v/>
      </c>
      <c r="U165" s="47">
        <f t="shared" si="3"/>
        <v>32</v>
      </c>
      <c r="V165" s="47" t="str">
        <f t="shared" si="4"/>
        <v/>
      </c>
      <c r="W165" s="47" t="str">
        <f t="shared" si="5"/>
        <v/>
      </c>
      <c r="X165" s="47" t="str">
        <f t="shared" si="6"/>
        <v/>
      </c>
      <c r="Y165" s="47" t="str">
        <f t="shared" si="7"/>
        <v/>
      </c>
      <c r="Z165" s="47">
        <f t="shared" si="20"/>
        <v>32</v>
      </c>
      <c r="AA165" s="47" t="str">
        <f t="shared" si="9"/>
        <v/>
      </c>
      <c r="AB165" s="47" t="str">
        <f t="shared" si="10"/>
        <v/>
      </c>
      <c r="AC165" s="47" t="str">
        <f t="shared" si="11"/>
        <v/>
      </c>
      <c r="AD165" s="47" t="str">
        <f t="shared" si="12"/>
        <v/>
      </c>
      <c r="AE165" s="47" t="str">
        <f t="shared" si="18"/>
        <v/>
      </c>
      <c r="AF165" s="47" t="str">
        <f t="shared" si="14"/>
        <v/>
      </c>
      <c r="AG165" s="47" t="str">
        <f t="shared" si="15"/>
        <v/>
      </c>
    </row>
    <row r="166" spans="1:33" x14ac:dyDescent="0.25">
      <c r="A166" s="36">
        <v>3</v>
      </c>
      <c r="B166" s="37" t="s">
        <v>222</v>
      </c>
      <c r="C166" s="37"/>
      <c r="D166" s="37"/>
      <c r="E166" s="37"/>
      <c r="F166" s="40"/>
      <c r="G166" s="49"/>
      <c r="H166" s="40"/>
      <c r="I166" s="40"/>
      <c r="J166" s="42">
        <v>2</v>
      </c>
      <c r="K166" s="43" t="s">
        <v>97</v>
      </c>
      <c r="L166" s="43" t="s">
        <v>240</v>
      </c>
      <c r="M166" s="62">
        <v>14.5</v>
      </c>
      <c r="N166" s="45">
        <v>1</v>
      </c>
      <c r="O166" s="45">
        <v>29</v>
      </c>
      <c r="P166" s="45">
        <f t="shared" si="0"/>
        <v>29</v>
      </c>
      <c r="Q166" s="46"/>
      <c r="R166" s="46"/>
      <c r="S166" s="47" t="str">
        <f t="shared" si="1"/>
        <v/>
      </c>
      <c r="T166" s="47" t="str">
        <f t="shared" si="2"/>
        <v/>
      </c>
      <c r="U166" s="47">
        <f t="shared" si="3"/>
        <v>29</v>
      </c>
      <c r="V166" s="47" t="str">
        <f t="shared" si="4"/>
        <v/>
      </c>
      <c r="W166" s="47" t="str">
        <f t="shared" si="5"/>
        <v/>
      </c>
      <c r="X166" s="47" t="str">
        <f t="shared" si="6"/>
        <v/>
      </c>
      <c r="Y166" s="47" t="str">
        <f t="shared" si="7"/>
        <v/>
      </c>
      <c r="Z166" s="47">
        <f t="shared" si="20"/>
        <v>29</v>
      </c>
      <c r="AA166" s="47" t="str">
        <f t="shared" si="9"/>
        <v/>
      </c>
      <c r="AB166" s="47" t="str">
        <f t="shared" si="10"/>
        <v/>
      </c>
      <c r="AC166" s="47" t="str">
        <f t="shared" si="11"/>
        <v/>
      </c>
      <c r="AD166" s="47" t="str">
        <f t="shared" si="12"/>
        <v/>
      </c>
      <c r="AE166" s="47" t="str">
        <f t="shared" si="18"/>
        <v/>
      </c>
      <c r="AF166" s="47" t="str">
        <f t="shared" si="14"/>
        <v/>
      </c>
      <c r="AG166" s="47" t="str">
        <f t="shared" si="15"/>
        <v/>
      </c>
    </row>
    <row r="167" spans="1:33" x14ac:dyDescent="0.25">
      <c r="A167" s="36">
        <v>3</v>
      </c>
      <c r="B167" s="37" t="s">
        <v>222</v>
      </c>
      <c r="C167" s="37"/>
      <c r="D167" s="37"/>
      <c r="E167" s="37"/>
      <c r="F167" s="40"/>
      <c r="G167" s="49"/>
      <c r="H167" s="40"/>
      <c r="I167" s="40"/>
      <c r="J167" s="42">
        <v>4</v>
      </c>
      <c r="K167" s="43" t="s">
        <v>241</v>
      </c>
      <c r="L167" s="43" t="s">
        <v>242</v>
      </c>
      <c r="M167" s="62">
        <v>15</v>
      </c>
      <c r="N167" s="45">
        <v>1</v>
      </c>
      <c r="O167" s="45">
        <v>60</v>
      </c>
      <c r="P167" s="45">
        <f t="shared" si="0"/>
        <v>60</v>
      </c>
      <c r="Q167" s="46"/>
      <c r="R167" s="46"/>
      <c r="S167" s="47" t="str">
        <f t="shared" si="1"/>
        <v/>
      </c>
      <c r="T167" s="47" t="str">
        <f t="shared" si="2"/>
        <v/>
      </c>
      <c r="U167" s="47">
        <f t="shared" si="3"/>
        <v>60</v>
      </c>
      <c r="V167" s="47" t="str">
        <f t="shared" si="4"/>
        <v/>
      </c>
      <c r="W167" s="47" t="str">
        <f t="shared" si="5"/>
        <v/>
      </c>
      <c r="X167" s="47" t="str">
        <f t="shared" si="6"/>
        <v/>
      </c>
      <c r="Y167" s="47" t="str">
        <f t="shared" si="7"/>
        <v/>
      </c>
      <c r="Z167" s="47">
        <f t="shared" si="20"/>
        <v>60</v>
      </c>
      <c r="AA167" s="47" t="str">
        <f t="shared" si="9"/>
        <v/>
      </c>
      <c r="AB167" s="47" t="str">
        <f t="shared" si="10"/>
        <v/>
      </c>
      <c r="AC167" s="47" t="str">
        <f t="shared" si="11"/>
        <v/>
      </c>
      <c r="AD167" s="47" t="str">
        <f t="shared" si="12"/>
        <v/>
      </c>
      <c r="AE167" s="47" t="str">
        <f t="shared" si="18"/>
        <v/>
      </c>
      <c r="AF167" s="47" t="str">
        <f t="shared" si="14"/>
        <v/>
      </c>
      <c r="AG167" s="47" t="str">
        <f t="shared" si="15"/>
        <v/>
      </c>
    </row>
    <row r="168" spans="1:33" x14ac:dyDescent="0.25">
      <c r="A168" s="36">
        <v>3</v>
      </c>
      <c r="B168" s="37" t="s">
        <v>222</v>
      </c>
      <c r="C168" s="37"/>
      <c r="D168" s="37"/>
      <c r="E168" s="37"/>
      <c r="F168" s="40"/>
      <c r="G168" s="49"/>
      <c r="H168" s="40"/>
      <c r="I168" s="40"/>
      <c r="J168" s="42">
        <v>15</v>
      </c>
      <c r="K168" s="43" t="s">
        <v>241</v>
      </c>
      <c r="L168" s="43" t="s">
        <v>243</v>
      </c>
      <c r="M168" s="62">
        <v>5.5</v>
      </c>
      <c r="N168" s="45">
        <v>1</v>
      </c>
      <c r="O168" s="45">
        <v>82.5</v>
      </c>
      <c r="P168" s="45">
        <f t="shared" si="0"/>
        <v>82.5</v>
      </c>
      <c r="Q168" s="46"/>
      <c r="R168" s="46"/>
      <c r="S168" s="47" t="str">
        <f t="shared" si="1"/>
        <v/>
      </c>
      <c r="T168" s="47" t="str">
        <f t="shared" si="2"/>
        <v/>
      </c>
      <c r="U168" s="47">
        <f t="shared" si="3"/>
        <v>82.5</v>
      </c>
      <c r="V168" s="47" t="str">
        <f t="shared" si="4"/>
        <v/>
      </c>
      <c r="W168" s="47" t="str">
        <f t="shared" si="5"/>
        <v/>
      </c>
      <c r="X168" s="47" t="str">
        <f t="shared" si="6"/>
        <v/>
      </c>
      <c r="Y168" s="47" t="str">
        <f t="shared" si="7"/>
        <v/>
      </c>
      <c r="Z168" s="47">
        <f t="shared" si="20"/>
        <v>82.5</v>
      </c>
      <c r="AA168" s="47" t="str">
        <f t="shared" si="9"/>
        <v/>
      </c>
      <c r="AB168" s="47" t="str">
        <f t="shared" si="10"/>
        <v/>
      </c>
      <c r="AC168" s="47" t="str">
        <f t="shared" si="11"/>
        <v/>
      </c>
      <c r="AD168" s="47" t="str">
        <f t="shared" si="12"/>
        <v/>
      </c>
      <c r="AE168" s="47" t="str">
        <f t="shared" si="18"/>
        <v/>
      </c>
      <c r="AF168" s="47" t="str">
        <f t="shared" si="14"/>
        <v/>
      </c>
      <c r="AG168" s="47" t="str">
        <f t="shared" si="15"/>
        <v/>
      </c>
    </row>
    <row r="169" spans="1:33" x14ac:dyDescent="0.25">
      <c r="A169" s="36">
        <v>3</v>
      </c>
      <c r="B169" s="37" t="s">
        <v>222</v>
      </c>
      <c r="C169" s="37"/>
      <c r="D169" s="37"/>
      <c r="E169" s="37"/>
      <c r="F169" s="40"/>
      <c r="G169" s="49"/>
      <c r="H169" s="40"/>
      <c r="I169" s="40"/>
      <c r="J169" s="42">
        <v>5</v>
      </c>
      <c r="K169" s="43" t="s">
        <v>241</v>
      </c>
      <c r="L169" s="43" t="s">
        <v>244</v>
      </c>
      <c r="M169" s="62">
        <v>7.5</v>
      </c>
      <c r="N169" s="45">
        <v>1</v>
      </c>
      <c r="O169" s="45">
        <v>37.5</v>
      </c>
      <c r="P169" s="45">
        <f t="shared" si="0"/>
        <v>37.5</v>
      </c>
      <c r="Q169" s="46"/>
      <c r="R169" s="46"/>
      <c r="S169" s="47" t="str">
        <f t="shared" si="1"/>
        <v/>
      </c>
      <c r="T169" s="47" t="str">
        <f t="shared" si="2"/>
        <v/>
      </c>
      <c r="U169" s="47">
        <f t="shared" si="3"/>
        <v>37.5</v>
      </c>
      <c r="V169" s="47" t="str">
        <f t="shared" si="4"/>
        <v/>
      </c>
      <c r="W169" s="47" t="str">
        <f t="shared" si="5"/>
        <v/>
      </c>
      <c r="X169" s="47" t="str">
        <f t="shared" si="6"/>
        <v/>
      </c>
      <c r="Y169" s="47" t="str">
        <f t="shared" si="7"/>
        <v/>
      </c>
      <c r="Z169" s="47">
        <f t="shared" si="20"/>
        <v>37.5</v>
      </c>
      <c r="AA169" s="47" t="str">
        <f t="shared" si="9"/>
        <v/>
      </c>
      <c r="AB169" s="47" t="str">
        <f t="shared" si="10"/>
        <v/>
      </c>
      <c r="AC169" s="47" t="str">
        <f t="shared" si="11"/>
        <v/>
      </c>
      <c r="AD169" s="47" t="str">
        <f t="shared" si="12"/>
        <v/>
      </c>
      <c r="AE169" s="47" t="str">
        <f t="shared" si="18"/>
        <v/>
      </c>
      <c r="AF169" s="47" t="str">
        <f t="shared" si="14"/>
        <v/>
      </c>
      <c r="AG169" s="47" t="str">
        <f t="shared" si="15"/>
        <v/>
      </c>
    </row>
    <row r="170" spans="1:33" x14ac:dyDescent="0.25">
      <c r="A170" s="36">
        <v>3</v>
      </c>
      <c r="B170" s="37" t="s">
        <v>222</v>
      </c>
      <c r="C170" s="37"/>
      <c r="D170" s="37"/>
      <c r="E170" s="37"/>
      <c r="F170" s="40"/>
      <c r="G170" s="49"/>
      <c r="H170" s="40"/>
      <c r="I170" s="40"/>
      <c r="J170" s="42">
        <v>5</v>
      </c>
      <c r="K170" s="43" t="s">
        <v>46</v>
      </c>
      <c r="L170" s="43" t="s">
        <v>245</v>
      </c>
      <c r="M170" s="62">
        <v>4</v>
      </c>
      <c r="N170" s="45">
        <v>1</v>
      </c>
      <c r="O170" s="45">
        <v>20</v>
      </c>
      <c r="P170" s="45">
        <f t="shared" si="0"/>
        <v>20</v>
      </c>
      <c r="Q170" s="46"/>
      <c r="R170" s="46"/>
      <c r="S170" s="47" t="str">
        <f t="shared" si="1"/>
        <v/>
      </c>
      <c r="T170" s="47" t="str">
        <f t="shared" si="2"/>
        <v/>
      </c>
      <c r="U170" s="47">
        <f t="shared" si="3"/>
        <v>20</v>
      </c>
      <c r="V170" s="47" t="str">
        <f t="shared" si="4"/>
        <v/>
      </c>
      <c r="W170" s="47" t="str">
        <f t="shared" si="5"/>
        <v/>
      </c>
      <c r="X170" s="47" t="str">
        <f t="shared" si="6"/>
        <v/>
      </c>
      <c r="Y170" s="47" t="str">
        <f t="shared" si="7"/>
        <v/>
      </c>
      <c r="Z170" s="47">
        <f t="shared" si="20"/>
        <v>20</v>
      </c>
      <c r="AA170" s="47" t="str">
        <f t="shared" si="9"/>
        <v/>
      </c>
      <c r="AB170" s="47" t="str">
        <f t="shared" si="10"/>
        <v/>
      </c>
      <c r="AC170" s="47" t="str">
        <f t="shared" si="11"/>
        <v/>
      </c>
      <c r="AD170" s="47" t="str">
        <f t="shared" si="12"/>
        <v/>
      </c>
      <c r="AE170" s="47" t="str">
        <f t="shared" si="18"/>
        <v/>
      </c>
      <c r="AF170" s="47" t="str">
        <f t="shared" si="14"/>
        <v/>
      </c>
      <c r="AG170" s="47" t="str">
        <f t="shared" si="15"/>
        <v/>
      </c>
    </row>
    <row r="171" spans="1:33" x14ac:dyDescent="0.25">
      <c r="A171" s="36">
        <v>3</v>
      </c>
      <c r="B171" s="37" t="s">
        <v>222</v>
      </c>
      <c r="C171" s="37"/>
      <c r="D171" s="37"/>
      <c r="E171" s="37"/>
      <c r="F171" s="40"/>
      <c r="G171" s="49"/>
      <c r="H171" s="40"/>
      <c r="I171" s="40"/>
      <c r="J171" s="42">
        <v>3</v>
      </c>
      <c r="K171" s="43" t="s">
        <v>107</v>
      </c>
      <c r="L171" s="43" t="s">
        <v>246</v>
      </c>
      <c r="M171" s="62">
        <v>16.5</v>
      </c>
      <c r="N171" s="45">
        <v>1</v>
      </c>
      <c r="O171" s="45">
        <v>49.5</v>
      </c>
      <c r="P171" s="45">
        <f t="shared" si="0"/>
        <v>49.5</v>
      </c>
      <c r="Q171" s="46"/>
      <c r="R171" s="46"/>
      <c r="S171" s="47" t="str">
        <f t="shared" si="1"/>
        <v/>
      </c>
      <c r="T171" s="47" t="str">
        <f t="shared" si="2"/>
        <v/>
      </c>
      <c r="U171" s="47">
        <f t="shared" si="3"/>
        <v>49.5</v>
      </c>
      <c r="V171" s="47" t="str">
        <f t="shared" si="4"/>
        <v/>
      </c>
      <c r="W171" s="47" t="str">
        <f t="shared" si="5"/>
        <v/>
      </c>
      <c r="X171" s="47" t="str">
        <f t="shared" si="6"/>
        <v/>
      </c>
      <c r="Y171" s="47" t="str">
        <f t="shared" si="7"/>
        <v/>
      </c>
      <c r="Z171" s="47">
        <f t="shared" si="20"/>
        <v>49.5</v>
      </c>
      <c r="AA171" s="47" t="str">
        <f t="shared" si="9"/>
        <v/>
      </c>
      <c r="AB171" s="47" t="str">
        <f t="shared" si="10"/>
        <v/>
      </c>
      <c r="AC171" s="47" t="str">
        <f t="shared" si="11"/>
        <v/>
      </c>
      <c r="AD171" s="47" t="str">
        <f t="shared" si="12"/>
        <v/>
      </c>
      <c r="AE171" s="47" t="str">
        <f t="shared" si="18"/>
        <v/>
      </c>
      <c r="AF171" s="47" t="str">
        <f t="shared" si="14"/>
        <v/>
      </c>
      <c r="AG171" s="47" t="str">
        <f t="shared" si="15"/>
        <v/>
      </c>
    </row>
    <row r="172" spans="1:33" x14ac:dyDescent="0.25">
      <c r="A172" s="36">
        <v>3</v>
      </c>
      <c r="B172" s="37" t="s">
        <v>222</v>
      </c>
      <c r="C172" s="37"/>
      <c r="D172" s="37"/>
      <c r="E172" s="37"/>
      <c r="F172" s="40"/>
      <c r="G172" s="49"/>
      <c r="H172" s="40"/>
      <c r="I172" s="40"/>
      <c r="J172" s="42">
        <v>2</v>
      </c>
      <c r="K172" s="43" t="s">
        <v>107</v>
      </c>
      <c r="L172" s="43" t="s">
        <v>247</v>
      </c>
      <c r="M172" s="62">
        <v>20</v>
      </c>
      <c r="N172" s="45">
        <v>1</v>
      </c>
      <c r="O172" s="45">
        <v>40</v>
      </c>
      <c r="P172" s="45">
        <f t="shared" si="0"/>
        <v>40</v>
      </c>
      <c r="Q172" s="46"/>
      <c r="R172" s="46"/>
      <c r="S172" s="47" t="str">
        <f t="shared" si="1"/>
        <v/>
      </c>
      <c r="T172" s="47" t="str">
        <f t="shared" si="2"/>
        <v/>
      </c>
      <c r="U172" s="47">
        <f t="shared" si="3"/>
        <v>40</v>
      </c>
      <c r="V172" s="47" t="str">
        <f t="shared" si="4"/>
        <v/>
      </c>
      <c r="W172" s="47" t="str">
        <f t="shared" si="5"/>
        <v/>
      </c>
      <c r="X172" s="47" t="str">
        <f t="shared" si="6"/>
        <v/>
      </c>
      <c r="Y172" s="47" t="str">
        <f t="shared" si="7"/>
        <v/>
      </c>
      <c r="Z172" s="47">
        <f t="shared" si="20"/>
        <v>40</v>
      </c>
      <c r="AA172" s="47" t="str">
        <f t="shared" si="9"/>
        <v/>
      </c>
      <c r="AB172" s="47" t="str">
        <f t="shared" si="10"/>
        <v/>
      </c>
      <c r="AC172" s="47" t="str">
        <f t="shared" si="11"/>
        <v/>
      </c>
      <c r="AD172" s="47" t="str">
        <f t="shared" si="12"/>
        <v/>
      </c>
      <c r="AE172" s="47" t="str">
        <f t="shared" si="18"/>
        <v/>
      </c>
      <c r="AF172" s="47" t="str">
        <f t="shared" si="14"/>
        <v/>
      </c>
      <c r="AG172" s="47" t="str">
        <f t="shared" si="15"/>
        <v/>
      </c>
    </row>
    <row r="173" spans="1:33" x14ac:dyDescent="0.25">
      <c r="A173" s="36">
        <v>3</v>
      </c>
      <c r="B173" s="37" t="s">
        <v>222</v>
      </c>
      <c r="C173" s="37"/>
      <c r="D173" s="37"/>
      <c r="E173" s="37"/>
      <c r="F173" s="40"/>
      <c r="G173" s="49"/>
      <c r="H173" s="40"/>
      <c r="I173" s="40"/>
      <c r="J173" s="42">
        <v>1</v>
      </c>
      <c r="K173" s="43" t="s">
        <v>97</v>
      </c>
      <c r="L173" s="43" t="s">
        <v>248</v>
      </c>
      <c r="M173" s="62">
        <v>53</v>
      </c>
      <c r="N173" s="45">
        <v>1</v>
      </c>
      <c r="O173" s="45">
        <v>53</v>
      </c>
      <c r="P173" s="45">
        <f t="shared" si="0"/>
        <v>53</v>
      </c>
      <c r="Q173" s="46"/>
      <c r="R173" s="46"/>
      <c r="S173" s="47" t="str">
        <f t="shared" si="1"/>
        <v/>
      </c>
      <c r="T173" s="47" t="str">
        <f t="shared" si="2"/>
        <v/>
      </c>
      <c r="U173" s="47">
        <f t="shared" si="3"/>
        <v>53</v>
      </c>
      <c r="V173" s="47" t="str">
        <f t="shared" si="4"/>
        <v/>
      </c>
      <c r="W173" s="47" t="str">
        <f t="shared" si="5"/>
        <v/>
      </c>
      <c r="X173" s="47" t="str">
        <f t="shared" si="6"/>
        <v/>
      </c>
      <c r="Y173" s="47" t="str">
        <f t="shared" si="7"/>
        <v/>
      </c>
      <c r="Z173" s="47">
        <f t="shared" si="20"/>
        <v>53</v>
      </c>
      <c r="AA173" s="47" t="str">
        <f t="shared" si="9"/>
        <v/>
      </c>
      <c r="AB173" s="47" t="str">
        <f t="shared" si="10"/>
        <v/>
      </c>
      <c r="AC173" s="47" t="str">
        <f t="shared" si="11"/>
        <v/>
      </c>
      <c r="AD173" s="47" t="str">
        <f t="shared" si="12"/>
        <v/>
      </c>
      <c r="AE173" s="47" t="str">
        <f t="shared" si="18"/>
        <v/>
      </c>
      <c r="AF173" s="47" t="str">
        <f t="shared" si="14"/>
        <v/>
      </c>
      <c r="AG173" s="47" t="str">
        <f t="shared" si="15"/>
        <v/>
      </c>
    </row>
    <row r="174" spans="1:33" x14ac:dyDescent="0.25">
      <c r="A174" s="36">
        <v>3</v>
      </c>
      <c r="B174" s="37" t="s">
        <v>222</v>
      </c>
      <c r="C174" s="37"/>
      <c r="D174" s="37"/>
      <c r="E174" s="37"/>
      <c r="F174" s="40"/>
      <c r="G174" s="49"/>
      <c r="H174" s="40"/>
      <c r="I174" s="40"/>
      <c r="J174" s="42">
        <v>1</v>
      </c>
      <c r="K174" s="43" t="s">
        <v>97</v>
      </c>
      <c r="L174" s="43" t="s">
        <v>249</v>
      </c>
      <c r="M174" s="62">
        <v>47</v>
      </c>
      <c r="N174" s="45">
        <v>1</v>
      </c>
      <c r="O174" s="45">
        <v>47</v>
      </c>
      <c r="P174" s="45">
        <f t="shared" si="0"/>
        <v>47</v>
      </c>
      <c r="Q174" s="46"/>
      <c r="R174" s="46"/>
      <c r="S174" s="47" t="str">
        <f t="shared" si="1"/>
        <v/>
      </c>
      <c r="T174" s="47" t="str">
        <f t="shared" si="2"/>
        <v/>
      </c>
      <c r="U174" s="47">
        <f t="shared" si="3"/>
        <v>47</v>
      </c>
      <c r="V174" s="47" t="str">
        <f t="shared" si="4"/>
        <v/>
      </c>
      <c r="W174" s="47" t="str">
        <f t="shared" si="5"/>
        <v/>
      </c>
      <c r="X174" s="47" t="str">
        <f t="shared" si="6"/>
        <v/>
      </c>
      <c r="Y174" s="47" t="str">
        <f t="shared" si="7"/>
        <v/>
      </c>
      <c r="Z174" s="47">
        <f t="shared" si="20"/>
        <v>47</v>
      </c>
      <c r="AA174" s="47" t="str">
        <f t="shared" si="9"/>
        <v/>
      </c>
      <c r="AB174" s="47" t="str">
        <f t="shared" si="10"/>
        <v/>
      </c>
      <c r="AC174" s="47" t="str">
        <f t="shared" si="11"/>
        <v/>
      </c>
      <c r="AD174" s="47" t="str">
        <f t="shared" si="12"/>
        <v/>
      </c>
      <c r="AE174" s="47" t="str">
        <f t="shared" si="18"/>
        <v/>
      </c>
      <c r="AF174" s="47" t="str">
        <f t="shared" si="14"/>
        <v/>
      </c>
      <c r="AG174" s="47" t="str">
        <f t="shared" si="15"/>
        <v/>
      </c>
    </row>
    <row r="175" spans="1:33" x14ac:dyDescent="0.25">
      <c r="A175" s="36">
        <v>3</v>
      </c>
      <c r="B175" s="37" t="s">
        <v>222</v>
      </c>
      <c r="C175" s="37"/>
      <c r="D175" s="37"/>
      <c r="E175" s="37"/>
      <c r="F175" s="40"/>
      <c r="G175" s="49"/>
      <c r="H175" s="40"/>
      <c r="I175" s="40"/>
      <c r="J175" s="42">
        <v>1</v>
      </c>
      <c r="K175" s="43" t="s">
        <v>97</v>
      </c>
      <c r="L175" s="43" t="s">
        <v>250</v>
      </c>
      <c r="M175" s="62">
        <v>59</v>
      </c>
      <c r="N175" s="45">
        <v>1</v>
      </c>
      <c r="O175" s="45">
        <v>59</v>
      </c>
      <c r="P175" s="45">
        <f t="shared" si="0"/>
        <v>59</v>
      </c>
      <c r="Q175" s="46"/>
      <c r="R175" s="46"/>
      <c r="S175" s="47" t="str">
        <f t="shared" si="1"/>
        <v/>
      </c>
      <c r="T175" s="47" t="str">
        <f t="shared" si="2"/>
        <v/>
      </c>
      <c r="U175" s="47">
        <f t="shared" si="3"/>
        <v>59</v>
      </c>
      <c r="V175" s="47" t="str">
        <f t="shared" si="4"/>
        <v/>
      </c>
      <c r="W175" s="47" t="str">
        <f t="shared" si="5"/>
        <v/>
      </c>
      <c r="X175" s="47" t="str">
        <f t="shared" si="6"/>
        <v/>
      </c>
      <c r="Y175" s="47" t="str">
        <f t="shared" si="7"/>
        <v/>
      </c>
      <c r="Z175" s="47">
        <f t="shared" si="20"/>
        <v>59</v>
      </c>
      <c r="AA175" s="47" t="str">
        <f t="shared" si="9"/>
        <v/>
      </c>
      <c r="AB175" s="47" t="str">
        <f t="shared" si="10"/>
        <v/>
      </c>
      <c r="AC175" s="47" t="str">
        <f t="shared" si="11"/>
        <v/>
      </c>
      <c r="AD175" s="47" t="str">
        <f t="shared" si="12"/>
        <v/>
      </c>
      <c r="AE175" s="47" t="str">
        <f t="shared" si="18"/>
        <v/>
      </c>
      <c r="AF175" s="47" t="str">
        <f t="shared" si="14"/>
        <v/>
      </c>
      <c r="AG175" s="47" t="str">
        <f t="shared" si="15"/>
        <v/>
      </c>
    </row>
    <row r="176" spans="1:33" x14ac:dyDescent="0.25">
      <c r="A176" s="36">
        <v>3</v>
      </c>
      <c r="B176" s="37" t="s">
        <v>222</v>
      </c>
      <c r="C176" s="37"/>
      <c r="D176" s="37"/>
      <c r="E176" s="37"/>
      <c r="F176" s="40"/>
      <c r="G176" s="49"/>
      <c r="H176" s="40"/>
      <c r="I176" s="40"/>
      <c r="J176" s="42">
        <v>1</v>
      </c>
      <c r="K176" s="43" t="s">
        <v>97</v>
      </c>
      <c r="L176" s="43" t="s">
        <v>251</v>
      </c>
      <c r="M176" s="62">
        <v>13.5</v>
      </c>
      <c r="N176" s="45">
        <v>1</v>
      </c>
      <c r="O176" s="45">
        <v>13.5</v>
      </c>
      <c r="P176" s="45">
        <f t="shared" si="0"/>
        <v>13.5</v>
      </c>
      <c r="Q176" s="46"/>
      <c r="R176" s="46"/>
      <c r="S176" s="47" t="str">
        <f t="shared" si="1"/>
        <v/>
      </c>
      <c r="T176" s="47" t="str">
        <f t="shared" si="2"/>
        <v/>
      </c>
      <c r="U176" s="47">
        <f t="shared" si="3"/>
        <v>13.5</v>
      </c>
      <c r="V176" s="47" t="str">
        <f t="shared" si="4"/>
        <v/>
      </c>
      <c r="W176" s="47" t="str">
        <f t="shared" si="5"/>
        <v/>
      </c>
      <c r="X176" s="47" t="str">
        <f t="shared" si="6"/>
        <v/>
      </c>
      <c r="Y176" s="47" t="str">
        <f t="shared" si="7"/>
        <v/>
      </c>
      <c r="Z176" s="47">
        <f t="shared" si="20"/>
        <v>13.5</v>
      </c>
      <c r="AA176" s="47" t="str">
        <f t="shared" si="9"/>
        <v/>
      </c>
      <c r="AB176" s="47" t="str">
        <f t="shared" si="10"/>
        <v/>
      </c>
      <c r="AC176" s="47" t="str">
        <f t="shared" si="11"/>
        <v/>
      </c>
      <c r="AD176" s="47" t="str">
        <f t="shared" si="12"/>
        <v/>
      </c>
      <c r="AE176" s="47" t="str">
        <f t="shared" si="18"/>
        <v/>
      </c>
      <c r="AF176" s="47" t="str">
        <f t="shared" si="14"/>
        <v/>
      </c>
      <c r="AG176" s="47" t="str">
        <f t="shared" si="15"/>
        <v/>
      </c>
    </row>
    <row r="177" spans="1:33" x14ac:dyDescent="0.25">
      <c r="A177" s="36">
        <v>3</v>
      </c>
      <c r="B177" s="37" t="s">
        <v>222</v>
      </c>
      <c r="C177" s="37"/>
      <c r="D177" s="37"/>
      <c r="E177" s="37"/>
      <c r="F177" s="40"/>
      <c r="G177" s="49"/>
      <c r="H177" s="40"/>
      <c r="I177" s="40"/>
      <c r="J177" s="42">
        <v>4</v>
      </c>
      <c r="K177" s="43" t="s">
        <v>97</v>
      </c>
      <c r="L177" s="43" t="s">
        <v>252</v>
      </c>
      <c r="M177" s="62">
        <v>29</v>
      </c>
      <c r="N177" s="45">
        <v>1</v>
      </c>
      <c r="O177" s="45">
        <v>116</v>
      </c>
      <c r="P177" s="45">
        <f t="shared" si="0"/>
        <v>116</v>
      </c>
      <c r="Q177" s="46"/>
      <c r="R177" s="46"/>
      <c r="S177" s="47" t="str">
        <f t="shared" si="1"/>
        <v/>
      </c>
      <c r="T177" s="47" t="str">
        <f t="shared" si="2"/>
        <v/>
      </c>
      <c r="U177" s="47">
        <f t="shared" si="3"/>
        <v>116</v>
      </c>
      <c r="V177" s="47" t="str">
        <f t="shared" si="4"/>
        <v/>
      </c>
      <c r="W177" s="47" t="str">
        <f t="shared" si="5"/>
        <v/>
      </c>
      <c r="X177" s="47" t="str">
        <f t="shared" si="6"/>
        <v/>
      </c>
      <c r="Y177" s="47" t="str">
        <f t="shared" si="7"/>
        <v/>
      </c>
      <c r="Z177" s="47">
        <f t="shared" si="20"/>
        <v>116</v>
      </c>
      <c r="AA177" s="47" t="str">
        <f t="shared" si="9"/>
        <v/>
      </c>
      <c r="AB177" s="47" t="str">
        <f t="shared" si="10"/>
        <v/>
      </c>
      <c r="AC177" s="47" t="str">
        <f t="shared" si="11"/>
        <v/>
      </c>
      <c r="AD177" s="47" t="str">
        <f t="shared" si="12"/>
        <v/>
      </c>
      <c r="AE177" s="47" t="str">
        <f t="shared" si="18"/>
        <v/>
      </c>
      <c r="AF177" s="47" t="str">
        <f t="shared" si="14"/>
        <v/>
      </c>
      <c r="AG177" s="47" t="str">
        <f t="shared" si="15"/>
        <v/>
      </c>
    </row>
    <row r="178" spans="1:33" x14ac:dyDescent="0.25">
      <c r="A178" s="36">
        <v>3</v>
      </c>
      <c r="B178" s="37" t="s">
        <v>222</v>
      </c>
      <c r="C178" s="37"/>
      <c r="D178" s="37"/>
      <c r="E178" s="37"/>
      <c r="F178" s="40"/>
      <c r="G178" s="49"/>
      <c r="H178" s="40"/>
      <c r="I178" s="40"/>
      <c r="J178" s="42">
        <v>1</v>
      </c>
      <c r="K178" s="43" t="s">
        <v>97</v>
      </c>
      <c r="L178" s="43" t="s">
        <v>253</v>
      </c>
      <c r="M178" s="62">
        <v>37</v>
      </c>
      <c r="N178" s="45">
        <v>1</v>
      </c>
      <c r="O178" s="45">
        <v>37</v>
      </c>
      <c r="P178" s="45">
        <f t="shared" si="0"/>
        <v>37</v>
      </c>
      <c r="Q178" s="46"/>
      <c r="R178" s="46"/>
      <c r="S178" s="47" t="str">
        <f t="shared" si="1"/>
        <v/>
      </c>
      <c r="T178" s="47" t="str">
        <f t="shared" si="2"/>
        <v/>
      </c>
      <c r="U178" s="47">
        <f t="shared" si="3"/>
        <v>37</v>
      </c>
      <c r="V178" s="47" t="str">
        <f t="shared" si="4"/>
        <v/>
      </c>
      <c r="W178" s="47" t="str">
        <f t="shared" si="5"/>
        <v/>
      </c>
      <c r="X178" s="47" t="str">
        <f t="shared" si="6"/>
        <v/>
      </c>
      <c r="Y178" s="47" t="str">
        <f t="shared" si="7"/>
        <v/>
      </c>
      <c r="Z178" s="47">
        <f t="shared" si="20"/>
        <v>37</v>
      </c>
      <c r="AA178" s="47" t="str">
        <f t="shared" si="9"/>
        <v/>
      </c>
      <c r="AB178" s="47" t="str">
        <f t="shared" si="10"/>
        <v/>
      </c>
      <c r="AC178" s="47" t="str">
        <f t="shared" si="11"/>
        <v/>
      </c>
      <c r="AD178" s="47" t="str">
        <f t="shared" si="12"/>
        <v/>
      </c>
      <c r="AE178" s="47" t="str">
        <f t="shared" si="18"/>
        <v/>
      </c>
      <c r="AF178" s="47" t="str">
        <f t="shared" si="14"/>
        <v/>
      </c>
      <c r="AG178" s="47" t="str">
        <f t="shared" si="15"/>
        <v/>
      </c>
    </row>
    <row r="179" spans="1:33" x14ac:dyDescent="0.25">
      <c r="A179" s="36">
        <v>3</v>
      </c>
      <c r="B179" s="37" t="s">
        <v>222</v>
      </c>
      <c r="C179" s="37"/>
      <c r="D179" s="37"/>
      <c r="E179" s="37"/>
      <c r="F179" s="40"/>
      <c r="G179" s="49"/>
      <c r="H179" s="40"/>
      <c r="I179" s="40"/>
      <c r="J179" s="42">
        <v>1</v>
      </c>
      <c r="K179" s="43" t="s">
        <v>97</v>
      </c>
      <c r="L179" s="43" t="s">
        <v>254</v>
      </c>
      <c r="M179" s="62">
        <v>55</v>
      </c>
      <c r="N179" s="45">
        <v>1</v>
      </c>
      <c r="O179" s="45">
        <v>55</v>
      </c>
      <c r="P179" s="45">
        <f t="shared" si="0"/>
        <v>55</v>
      </c>
      <c r="Q179" s="46"/>
      <c r="R179" s="46"/>
      <c r="S179" s="47" t="str">
        <f t="shared" si="1"/>
        <v/>
      </c>
      <c r="T179" s="47" t="str">
        <f t="shared" si="2"/>
        <v/>
      </c>
      <c r="U179" s="47">
        <f t="shared" si="3"/>
        <v>55</v>
      </c>
      <c r="V179" s="47" t="str">
        <f t="shared" si="4"/>
        <v/>
      </c>
      <c r="W179" s="47" t="str">
        <f t="shared" si="5"/>
        <v/>
      </c>
      <c r="X179" s="47" t="str">
        <f t="shared" si="6"/>
        <v/>
      </c>
      <c r="Y179" s="47" t="str">
        <f t="shared" si="7"/>
        <v/>
      </c>
      <c r="Z179" s="47">
        <f t="shared" si="20"/>
        <v>55</v>
      </c>
      <c r="AA179" s="47" t="str">
        <f t="shared" si="9"/>
        <v/>
      </c>
      <c r="AB179" s="47" t="str">
        <f t="shared" si="10"/>
        <v/>
      </c>
      <c r="AC179" s="47" t="str">
        <f t="shared" si="11"/>
        <v/>
      </c>
      <c r="AD179" s="47" t="str">
        <f t="shared" si="12"/>
        <v/>
      </c>
      <c r="AE179" s="47" t="str">
        <f t="shared" si="18"/>
        <v/>
      </c>
      <c r="AF179" s="47" t="str">
        <f t="shared" si="14"/>
        <v/>
      </c>
      <c r="AG179" s="47" t="str">
        <f t="shared" si="15"/>
        <v/>
      </c>
    </row>
    <row r="180" spans="1:33" x14ac:dyDescent="0.25">
      <c r="A180" s="36">
        <v>3</v>
      </c>
      <c r="B180" s="37" t="s">
        <v>222</v>
      </c>
      <c r="C180" s="37"/>
      <c r="D180" s="37"/>
      <c r="E180" s="37"/>
      <c r="F180" s="40"/>
      <c r="G180" s="49"/>
      <c r="H180" s="40"/>
      <c r="I180" s="40"/>
      <c r="J180" s="42">
        <v>1</v>
      </c>
      <c r="K180" s="43" t="s">
        <v>97</v>
      </c>
      <c r="L180" s="43" t="s">
        <v>255</v>
      </c>
      <c r="M180" s="62">
        <v>35</v>
      </c>
      <c r="N180" s="45">
        <v>1</v>
      </c>
      <c r="O180" s="45">
        <v>35</v>
      </c>
      <c r="P180" s="45">
        <f t="shared" si="0"/>
        <v>35</v>
      </c>
      <c r="Q180" s="46"/>
      <c r="R180" s="46"/>
      <c r="S180" s="47" t="str">
        <f t="shared" si="1"/>
        <v/>
      </c>
      <c r="T180" s="47" t="str">
        <f t="shared" si="2"/>
        <v/>
      </c>
      <c r="U180" s="47">
        <f t="shared" si="3"/>
        <v>35</v>
      </c>
      <c r="V180" s="47" t="str">
        <f t="shared" si="4"/>
        <v/>
      </c>
      <c r="W180" s="47" t="str">
        <f t="shared" si="5"/>
        <v/>
      </c>
      <c r="X180" s="47" t="str">
        <f t="shared" si="6"/>
        <v/>
      </c>
      <c r="Y180" s="47" t="str">
        <f t="shared" si="7"/>
        <v/>
      </c>
      <c r="Z180" s="47">
        <f t="shared" si="20"/>
        <v>35</v>
      </c>
      <c r="AA180" s="47" t="str">
        <f t="shared" si="9"/>
        <v/>
      </c>
      <c r="AB180" s="47" t="str">
        <f t="shared" si="10"/>
        <v/>
      </c>
      <c r="AC180" s="47" t="str">
        <f t="shared" si="11"/>
        <v/>
      </c>
      <c r="AD180" s="47" t="str">
        <f t="shared" si="12"/>
        <v/>
      </c>
      <c r="AE180" s="47" t="str">
        <f t="shared" si="18"/>
        <v/>
      </c>
      <c r="AF180" s="47" t="str">
        <f t="shared" si="14"/>
        <v/>
      </c>
      <c r="AG180" s="47" t="str">
        <f t="shared" si="15"/>
        <v/>
      </c>
    </row>
    <row r="181" spans="1:33" x14ac:dyDescent="0.25">
      <c r="A181" s="36">
        <v>3</v>
      </c>
      <c r="B181" s="37" t="s">
        <v>222</v>
      </c>
      <c r="C181" s="37"/>
      <c r="D181" s="37"/>
      <c r="E181" s="37"/>
      <c r="F181" s="40"/>
      <c r="G181" s="49"/>
      <c r="H181" s="40"/>
      <c r="I181" s="40"/>
      <c r="J181" s="42">
        <v>2</v>
      </c>
      <c r="K181" s="43" t="s">
        <v>97</v>
      </c>
      <c r="L181" s="43" t="s">
        <v>256</v>
      </c>
      <c r="M181" s="62">
        <v>77</v>
      </c>
      <c r="N181" s="45">
        <v>1</v>
      </c>
      <c r="O181" s="45">
        <v>154</v>
      </c>
      <c r="P181" s="45">
        <f t="shared" si="0"/>
        <v>154</v>
      </c>
      <c r="Q181" s="46"/>
      <c r="R181" s="46"/>
      <c r="S181" s="47" t="str">
        <f t="shared" si="1"/>
        <v/>
      </c>
      <c r="T181" s="47" t="str">
        <f t="shared" si="2"/>
        <v/>
      </c>
      <c r="U181" s="47">
        <f t="shared" si="3"/>
        <v>154</v>
      </c>
      <c r="V181" s="47" t="str">
        <f t="shared" si="4"/>
        <v/>
      </c>
      <c r="W181" s="47" t="str">
        <f t="shared" si="5"/>
        <v/>
      </c>
      <c r="X181" s="47" t="str">
        <f t="shared" si="6"/>
        <v/>
      </c>
      <c r="Y181" s="47" t="str">
        <f t="shared" si="7"/>
        <v/>
      </c>
      <c r="Z181" s="47">
        <f t="shared" si="20"/>
        <v>154</v>
      </c>
      <c r="AA181" s="47" t="str">
        <f t="shared" si="9"/>
        <v/>
      </c>
      <c r="AB181" s="47" t="str">
        <f t="shared" si="10"/>
        <v/>
      </c>
      <c r="AC181" s="47" t="str">
        <f t="shared" si="11"/>
        <v/>
      </c>
      <c r="AD181" s="47" t="str">
        <f t="shared" si="12"/>
        <v/>
      </c>
      <c r="AE181" s="47" t="str">
        <f t="shared" si="18"/>
        <v/>
      </c>
      <c r="AF181" s="47" t="str">
        <f t="shared" si="14"/>
        <v/>
      </c>
      <c r="AG181" s="47" t="str">
        <f t="shared" si="15"/>
        <v/>
      </c>
    </row>
    <row r="182" spans="1:33" x14ac:dyDescent="0.25">
      <c r="A182" s="36">
        <v>3</v>
      </c>
      <c r="B182" s="37" t="s">
        <v>222</v>
      </c>
      <c r="C182" s="37"/>
      <c r="D182" s="37"/>
      <c r="E182" s="37"/>
      <c r="F182" s="40"/>
      <c r="G182" s="49"/>
      <c r="H182" s="40"/>
      <c r="I182" s="40"/>
      <c r="J182" s="42">
        <v>1</v>
      </c>
      <c r="K182" s="43" t="s">
        <v>97</v>
      </c>
      <c r="L182" s="43" t="s">
        <v>257</v>
      </c>
      <c r="M182" s="62">
        <v>47</v>
      </c>
      <c r="N182" s="45">
        <v>1</v>
      </c>
      <c r="O182" s="45">
        <v>47</v>
      </c>
      <c r="P182" s="45">
        <f t="shared" si="0"/>
        <v>47</v>
      </c>
      <c r="Q182" s="46"/>
      <c r="R182" s="46"/>
      <c r="S182" s="47" t="str">
        <f t="shared" si="1"/>
        <v/>
      </c>
      <c r="T182" s="47" t="str">
        <f t="shared" si="2"/>
        <v/>
      </c>
      <c r="U182" s="47">
        <f t="shared" si="3"/>
        <v>47</v>
      </c>
      <c r="V182" s="47" t="str">
        <f t="shared" si="4"/>
        <v/>
      </c>
      <c r="W182" s="47" t="str">
        <f t="shared" si="5"/>
        <v/>
      </c>
      <c r="X182" s="47" t="str">
        <f t="shared" si="6"/>
        <v/>
      </c>
      <c r="Y182" s="47" t="str">
        <f t="shared" si="7"/>
        <v/>
      </c>
      <c r="Z182" s="47">
        <f t="shared" si="20"/>
        <v>47</v>
      </c>
      <c r="AA182" s="47" t="str">
        <f t="shared" si="9"/>
        <v/>
      </c>
      <c r="AB182" s="47" t="str">
        <f t="shared" si="10"/>
        <v/>
      </c>
      <c r="AC182" s="47" t="str">
        <f t="shared" si="11"/>
        <v/>
      </c>
      <c r="AD182" s="47" t="str">
        <f t="shared" si="12"/>
        <v/>
      </c>
      <c r="AE182" s="47" t="str">
        <f t="shared" si="18"/>
        <v/>
      </c>
      <c r="AF182" s="47" t="str">
        <f t="shared" si="14"/>
        <v/>
      </c>
      <c r="AG182" s="47" t="str">
        <f t="shared" si="15"/>
        <v/>
      </c>
    </row>
    <row r="183" spans="1:33" x14ac:dyDescent="0.25">
      <c r="A183" s="36">
        <v>3</v>
      </c>
      <c r="B183" s="37" t="s">
        <v>222</v>
      </c>
      <c r="C183" s="37"/>
      <c r="D183" s="37"/>
      <c r="E183" s="37"/>
      <c r="F183" s="40"/>
      <c r="G183" s="49"/>
      <c r="H183" s="40"/>
      <c r="I183" s="40"/>
      <c r="J183" s="42">
        <v>1</v>
      </c>
      <c r="K183" s="43" t="s">
        <v>97</v>
      </c>
      <c r="L183" s="43" t="s">
        <v>258</v>
      </c>
      <c r="M183" s="62">
        <v>47</v>
      </c>
      <c r="N183" s="45">
        <v>1</v>
      </c>
      <c r="O183" s="45">
        <v>47</v>
      </c>
      <c r="P183" s="45">
        <f t="shared" si="0"/>
        <v>47</v>
      </c>
      <c r="Q183" s="46"/>
      <c r="R183" s="46"/>
      <c r="S183" s="47" t="str">
        <f t="shared" si="1"/>
        <v/>
      </c>
      <c r="T183" s="47" t="str">
        <f t="shared" si="2"/>
        <v/>
      </c>
      <c r="U183" s="47">
        <f t="shared" si="3"/>
        <v>47</v>
      </c>
      <c r="V183" s="47" t="str">
        <f t="shared" si="4"/>
        <v/>
      </c>
      <c r="W183" s="47" t="str">
        <f t="shared" si="5"/>
        <v/>
      </c>
      <c r="X183" s="47" t="str">
        <f t="shared" si="6"/>
        <v/>
      </c>
      <c r="Y183" s="47" t="str">
        <f t="shared" si="7"/>
        <v/>
      </c>
      <c r="Z183" s="47">
        <f t="shared" si="20"/>
        <v>47</v>
      </c>
      <c r="AA183" s="47" t="str">
        <f t="shared" si="9"/>
        <v/>
      </c>
      <c r="AB183" s="47" t="str">
        <f t="shared" si="10"/>
        <v/>
      </c>
      <c r="AC183" s="47" t="str">
        <f t="shared" si="11"/>
        <v/>
      </c>
      <c r="AD183" s="47" t="str">
        <f t="shared" si="12"/>
        <v/>
      </c>
      <c r="AE183" s="47" t="str">
        <f t="shared" si="18"/>
        <v/>
      </c>
      <c r="AF183" s="47" t="str">
        <f t="shared" si="14"/>
        <v/>
      </c>
      <c r="AG183" s="47" t="str">
        <f t="shared" si="15"/>
        <v/>
      </c>
    </row>
    <row r="184" spans="1:33" x14ac:dyDescent="0.25">
      <c r="A184" s="36">
        <v>3</v>
      </c>
      <c r="B184" s="37" t="s">
        <v>222</v>
      </c>
      <c r="C184" s="37"/>
      <c r="D184" s="37"/>
      <c r="E184" s="37"/>
      <c r="F184" s="40"/>
      <c r="G184" s="49"/>
      <c r="H184" s="40"/>
      <c r="I184" s="40"/>
      <c r="J184" s="42">
        <v>4</v>
      </c>
      <c r="K184" s="43" t="s">
        <v>74</v>
      </c>
      <c r="L184" s="43" t="s">
        <v>259</v>
      </c>
      <c r="M184" s="62">
        <v>35</v>
      </c>
      <c r="N184" s="45">
        <v>1</v>
      </c>
      <c r="O184" s="45">
        <v>140</v>
      </c>
      <c r="P184" s="45">
        <f t="shared" si="0"/>
        <v>140</v>
      </c>
      <c r="Q184" s="46"/>
      <c r="R184" s="46"/>
      <c r="S184" s="47" t="str">
        <f t="shared" si="1"/>
        <v/>
      </c>
      <c r="T184" s="47" t="str">
        <f t="shared" si="2"/>
        <v/>
      </c>
      <c r="U184" s="47">
        <f t="shared" si="3"/>
        <v>140</v>
      </c>
      <c r="V184" s="47" t="str">
        <f t="shared" si="4"/>
        <v/>
      </c>
      <c r="W184" s="47" t="str">
        <f t="shared" si="5"/>
        <v/>
      </c>
      <c r="X184" s="47" t="str">
        <f t="shared" si="6"/>
        <v/>
      </c>
      <c r="Y184" s="47" t="str">
        <f t="shared" si="7"/>
        <v/>
      </c>
      <c r="Z184" s="47">
        <f t="shared" si="20"/>
        <v>140</v>
      </c>
      <c r="AA184" s="47" t="str">
        <f t="shared" si="9"/>
        <v/>
      </c>
      <c r="AB184" s="47" t="str">
        <f t="shared" si="10"/>
        <v/>
      </c>
      <c r="AC184" s="47" t="str">
        <f t="shared" si="11"/>
        <v/>
      </c>
      <c r="AD184" s="47" t="str">
        <f t="shared" si="12"/>
        <v/>
      </c>
      <c r="AE184" s="47" t="str">
        <f t="shared" si="18"/>
        <v/>
      </c>
      <c r="AF184" s="47" t="str">
        <f t="shared" si="14"/>
        <v/>
      </c>
      <c r="AG184" s="47" t="str">
        <f t="shared" si="15"/>
        <v/>
      </c>
    </row>
    <row r="185" spans="1:33" x14ac:dyDescent="0.25">
      <c r="A185" s="36">
        <v>3</v>
      </c>
      <c r="B185" s="37" t="s">
        <v>222</v>
      </c>
      <c r="C185" s="37"/>
      <c r="D185" s="37"/>
      <c r="E185" s="37"/>
      <c r="F185" s="40"/>
      <c r="G185" s="49"/>
      <c r="H185" s="40"/>
      <c r="I185" s="40"/>
      <c r="J185" s="42">
        <v>2</v>
      </c>
      <c r="K185" s="43" t="s">
        <v>46</v>
      </c>
      <c r="L185" s="43" t="s">
        <v>260</v>
      </c>
      <c r="M185" s="62">
        <v>40</v>
      </c>
      <c r="N185" s="45">
        <v>1</v>
      </c>
      <c r="O185" s="45">
        <v>80</v>
      </c>
      <c r="P185" s="45">
        <f t="shared" si="0"/>
        <v>80</v>
      </c>
      <c r="Q185" s="46"/>
      <c r="R185" s="46"/>
      <c r="S185" s="47" t="str">
        <f t="shared" si="1"/>
        <v/>
      </c>
      <c r="T185" s="47" t="str">
        <f t="shared" si="2"/>
        <v/>
      </c>
      <c r="U185" s="47">
        <f t="shared" si="3"/>
        <v>80</v>
      </c>
      <c r="V185" s="47" t="str">
        <f t="shared" si="4"/>
        <v/>
      </c>
      <c r="W185" s="47" t="str">
        <f t="shared" si="5"/>
        <v/>
      </c>
      <c r="X185" s="47" t="str">
        <f t="shared" si="6"/>
        <v/>
      </c>
      <c r="Y185" s="47" t="str">
        <f t="shared" si="7"/>
        <v/>
      </c>
      <c r="Z185" s="47">
        <f t="shared" si="20"/>
        <v>80</v>
      </c>
      <c r="AA185" s="47" t="str">
        <f t="shared" si="9"/>
        <v/>
      </c>
      <c r="AB185" s="47" t="str">
        <f t="shared" si="10"/>
        <v/>
      </c>
      <c r="AC185" s="47" t="str">
        <f t="shared" si="11"/>
        <v/>
      </c>
      <c r="AD185" s="47" t="str">
        <f t="shared" si="12"/>
        <v/>
      </c>
      <c r="AE185" s="47" t="str">
        <f t="shared" si="18"/>
        <v/>
      </c>
      <c r="AF185" s="47" t="str">
        <f t="shared" si="14"/>
        <v/>
      </c>
      <c r="AG185" s="47" t="str">
        <f t="shared" si="15"/>
        <v/>
      </c>
    </row>
    <row r="186" spans="1:33" x14ac:dyDescent="0.25">
      <c r="A186" s="36">
        <v>3</v>
      </c>
      <c r="B186" s="37" t="s">
        <v>222</v>
      </c>
      <c r="C186" s="37"/>
      <c r="D186" s="37"/>
      <c r="E186" s="37"/>
      <c r="F186" s="40"/>
      <c r="G186" s="49"/>
      <c r="H186" s="40"/>
      <c r="I186" s="40"/>
      <c r="J186" s="42">
        <v>2</v>
      </c>
      <c r="K186" s="43" t="s">
        <v>46</v>
      </c>
      <c r="L186" s="43" t="s">
        <v>261</v>
      </c>
      <c r="M186" s="62">
        <v>19.5</v>
      </c>
      <c r="N186" s="45">
        <v>1</v>
      </c>
      <c r="O186" s="45">
        <v>39</v>
      </c>
      <c r="P186" s="45">
        <f t="shared" si="0"/>
        <v>39</v>
      </c>
      <c r="Q186" s="46"/>
      <c r="R186" s="46"/>
      <c r="S186" s="47" t="str">
        <f t="shared" si="1"/>
        <v/>
      </c>
      <c r="T186" s="47" t="str">
        <f t="shared" si="2"/>
        <v/>
      </c>
      <c r="U186" s="47">
        <f t="shared" si="3"/>
        <v>39</v>
      </c>
      <c r="V186" s="47" t="str">
        <f t="shared" si="4"/>
        <v/>
      </c>
      <c r="W186" s="47" t="str">
        <f t="shared" si="5"/>
        <v/>
      </c>
      <c r="X186" s="47" t="str">
        <f t="shared" si="6"/>
        <v/>
      </c>
      <c r="Y186" s="47" t="str">
        <f t="shared" si="7"/>
        <v/>
      </c>
      <c r="Z186" s="47">
        <f t="shared" si="20"/>
        <v>39</v>
      </c>
      <c r="AA186" s="47" t="str">
        <f t="shared" si="9"/>
        <v/>
      </c>
      <c r="AB186" s="47" t="str">
        <f t="shared" si="10"/>
        <v/>
      </c>
      <c r="AC186" s="47" t="str">
        <f t="shared" si="11"/>
        <v/>
      </c>
      <c r="AD186" s="47" t="str">
        <f t="shared" si="12"/>
        <v/>
      </c>
      <c r="AE186" s="47" t="str">
        <f t="shared" si="18"/>
        <v/>
      </c>
      <c r="AF186" s="47" t="str">
        <f t="shared" si="14"/>
        <v/>
      </c>
      <c r="AG186" s="47" t="str">
        <f t="shared" si="15"/>
        <v/>
      </c>
    </row>
    <row r="187" spans="1:33" x14ac:dyDescent="0.25">
      <c r="A187" s="36">
        <v>3</v>
      </c>
      <c r="B187" s="37" t="s">
        <v>222</v>
      </c>
      <c r="C187" s="37"/>
      <c r="D187" s="37"/>
      <c r="E187" s="37"/>
      <c r="F187" s="40"/>
      <c r="G187" s="49"/>
      <c r="H187" s="40"/>
      <c r="I187" s="40"/>
      <c r="J187" s="42">
        <v>1</v>
      </c>
      <c r="K187" s="43" t="s">
        <v>214</v>
      </c>
      <c r="L187" s="43" t="s">
        <v>262</v>
      </c>
      <c r="M187" s="62">
        <v>156</v>
      </c>
      <c r="N187" s="45">
        <v>1</v>
      </c>
      <c r="O187" s="45">
        <v>156</v>
      </c>
      <c r="P187" s="45">
        <f t="shared" si="0"/>
        <v>156</v>
      </c>
      <c r="Q187" s="46"/>
      <c r="R187" s="46"/>
      <c r="S187" s="47" t="str">
        <f t="shared" si="1"/>
        <v/>
      </c>
      <c r="T187" s="47" t="str">
        <f t="shared" si="2"/>
        <v/>
      </c>
      <c r="U187" s="47">
        <f t="shared" si="3"/>
        <v>156</v>
      </c>
      <c r="V187" s="47" t="str">
        <f t="shared" si="4"/>
        <v/>
      </c>
      <c r="W187" s="47" t="str">
        <f t="shared" si="5"/>
        <v/>
      </c>
      <c r="X187" s="47" t="str">
        <f t="shared" si="6"/>
        <v/>
      </c>
      <c r="Y187" s="47" t="str">
        <f t="shared" si="7"/>
        <v/>
      </c>
      <c r="Z187" s="47">
        <f t="shared" si="20"/>
        <v>156</v>
      </c>
      <c r="AA187" s="47" t="str">
        <f t="shared" si="9"/>
        <v/>
      </c>
      <c r="AB187" s="47" t="str">
        <f t="shared" si="10"/>
        <v/>
      </c>
      <c r="AC187" s="47" t="str">
        <f t="shared" si="11"/>
        <v/>
      </c>
      <c r="AD187" s="47" t="str">
        <f t="shared" si="12"/>
        <v/>
      </c>
      <c r="AE187" s="47" t="str">
        <f t="shared" si="18"/>
        <v/>
      </c>
      <c r="AF187" s="47" t="str">
        <f t="shared" si="14"/>
        <v/>
      </c>
      <c r="AG187" s="47" t="str">
        <f t="shared" si="15"/>
        <v/>
      </c>
    </row>
    <row r="188" spans="1:33" x14ac:dyDescent="0.25">
      <c r="A188" s="36">
        <v>3</v>
      </c>
      <c r="B188" s="37" t="s">
        <v>222</v>
      </c>
      <c r="C188" s="37"/>
      <c r="D188" s="37"/>
      <c r="E188" s="37"/>
      <c r="F188" s="40"/>
      <c r="G188" s="49"/>
      <c r="H188" s="40"/>
      <c r="I188" s="40"/>
      <c r="J188" s="42">
        <v>3</v>
      </c>
      <c r="K188" s="43" t="s">
        <v>46</v>
      </c>
      <c r="L188" s="43" t="s">
        <v>263</v>
      </c>
      <c r="M188" s="62">
        <v>34</v>
      </c>
      <c r="N188" s="45">
        <v>1</v>
      </c>
      <c r="O188" s="45">
        <v>102</v>
      </c>
      <c r="P188" s="45">
        <f t="shared" si="0"/>
        <v>102</v>
      </c>
      <c r="Q188" s="46"/>
      <c r="R188" s="46"/>
      <c r="S188" s="47" t="str">
        <f t="shared" si="1"/>
        <v/>
      </c>
      <c r="T188" s="47" t="str">
        <f t="shared" si="2"/>
        <v/>
      </c>
      <c r="U188" s="47">
        <f t="shared" si="3"/>
        <v>102</v>
      </c>
      <c r="V188" s="47" t="str">
        <f t="shared" si="4"/>
        <v/>
      </c>
      <c r="W188" s="47" t="str">
        <f t="shared" si="5"/>
        <v/>
      </c>
      <c r="X188" s="47" t="str">
        <f t="shared" si="6"/>
        <v/>
      </c>
      <c r="Y188" s="47" t="str">
        <f t="shared" si="7"/>
        <v/>
      </c>
      <c r="Z188" s="47">
        <f t="shared" si="20"/>
        <v>102</v>
      </c>
      <c r="AA188" s="47" t="str">
        <f t="shared" si="9"/>
        <v/>
      </c>
      <c r="AB188" s="47" t="str">
        <f t="shared" si="10"/>
        <v/>
      </c>
      <c r="AC188" s="47" t="str">
        <f t="shared" si="11"/>
        <v/>
      </c>
      <c r="AD188" s="47" t="str">
        <f t="shared" si="12"/>
        <v/>
      </c>
      <c r="AE188" s="47" t="str">
        <f t="shared" si="18"/>
        <v/>
      </c>
      <c r="AF188" s="47" t="str">
        <f t="shared" si="14"/>
        <v/>
      </c>
      <c r="AG188" s="47" t="str">
        <f t="shared" si="15"/>
        <v/>
      </c>
    </row>
    <row r="189" spans="1:33" x14ac:dyDescent="0.25">
      <c r="A189" s="36">
        <v>3</v>
      </c>
      <c r="B189" s="37" t="s">
        <v>222</v>
      </c>
      <c r="C189" s="37"/>
      <c r="D189" s="37"/>
      <c r="E189" s="37"/>
      <c r="F189" s="40"/>
      <c r="G189" s="49"/>
      <c r="H189" s="40"/>
      <c r="I189" s="40"/>
      <c r="J189" s="42">
        <v>2</v>
      </c>
      <c r="K189" s="43" t="s">
        <v>46</v>
      </c>
      <c r="L189" s="43" t="s">
        <v>264</v>
      </c>
      <c r="M189" s="62">
        <v>18.5</v>
      </c>
      <c r="N189" s="45">
        <v>1</v>
      </c>
      <c r="O189" s="45">
        <v>37</v>
      </c>
      <c r="P189" s="45">
        <f t="shared" si="0"/>
        <v>37</v>
      </c>
      <c r="Q189" s="46"/>
      <c r="R189" s="46"/>
      <c r="S189" s="47" t="str">
        <f t="shared" si="1"/>
        <v/>
      </c>
      <c r="T189" s="47" t="str">
        <f t="shared" si="2"/>
        <v/>
      </c>
      <c r="U189" s="47">
        <f t="shared" si="3"/>
        <v>37</v>
      </c>
      <c r="V189" s="47" t="str">
        <f t="shared" si="4"/>
        <v/>
      </c>
      <c r="W189" s="47" t="str">
        <f t="shared" si="5"/>
        <v/>
      </c>
      <c r="X189" s="47" t="str">
        <f t="shared" si="6"/>
        <v/>
      </c>
      <c r="Y189" s="47" t="str">
        <f t="shared" si="7"/>
        <v/>
      </c>
      <c r="Z189" s="47">
        <f t="shared" si="20"/>
        <v>37</v>
      </c>
      <c r="AA189" s="47" t="str">
        <f t="shared" si="9"/>
        <v/>
      </c>
      <c r="AB189" s="47" t="str">
        <f t="shared" si="10"/>
        <v/>
      </c>
      <c r="AC189" s="47" t="str">
        <f t="shared" si="11"/>
        <v/>
      </c>
      <c r="AD189" s="47" t="str">
        <f t="shared" si="12"/>
        <v/>
      </c>
      <c r="AE189" s="47" t="str">
        <f t="shared" si="18"/>
        <v/>
      </c>
      <c r="AF189" s="47" t="str">
        <f t="shared" si="14"/>
        <v/>
      </c>
      <c r="AG189" s="47" t="str">
        <f t="shared" si="15"/>
        <v/>
      </c>
    </row>
    <row r="190" spans="1:33" x14ac:dyDescent="0.25">
      <c r="A190" s="36">
        <v>3</v>
      </c>
      <c r="B190" s="37" t="s">
        <v>222</v>
      </c>
      <c r="C190" s="37"/>
      <c r="D190" s="37"/>
      <c r="E190" s="37"/>
      <c r="F190" s="40"/>
      <c r="G190" s="49"/>
      <c r="H190" s="40"/>
      <c r="I190" s="40"/>
      <c r="J190" s="42">
        <v>4</v>
      </c>
      <c r="K190" s="43" t="s">
        <v>82</v>
      </c>
      <c r="L190" s="43" t="s">
        <v>265</v>
      </c>
      <c r="M190" s="62">
        <v>25.5</v>
      </c>
      <c r="N190" s="45">
        <v>1</v>
      </c>
      <c r="O190" s="45">
        <v>102</v>
      </c>
      <c r="P190" s="45">
        <f t="shared" si="0"/>
        <v>102</v>
      </c>
      <c r="Q190" s="46"/>
      <c r="R190" s="46"/>
      <c r="S190" s="47" t="str">
        <f t="shared" si="1"/>
        <v/>
      </c>
      <c r="T190" s="47" t="str">
        <f t="shared" si="2"/>
        <v/>
      </c>
      <c r="U190" s="47">
        <f t="shared" si="3"/>
        <v>102</v>
      </c>
      <c r="V190" s="47" t="str">
        <f t="shared" si="4"/>
        <v/>
      </c>
      <c r="W190" s="47" t="str">
        <f t="shared" si="5"/>
        <v/>
      </c>
      <c r="X190" s="47" t="str">
        <f t="shared" si="6"/>
        <v/>
      </c>
      <c r="Y190" s="47" t="str">
        <f t="shared" si="7"/>
        <v/>
      </c>
      <c r="Z190" s="47">
        <f t="shared" si="20"/>
        <v>102</v>
      </c>
      <c r="AA190" s="47" t="str">
        <f t="shared" si="9"/>
        <v/>
      </c>
      <c r="AB190" s="47" t="str">
        <f t="shared" si="10"/>
        <v/>
      </c>
      <c r="AC190" s="47" t="str">
        <f t="shared" si="11"/>
        <v/>
      </c>
      <c r="AD190" s="47" t="str">
        <f t="shared" si="12"/>
        <v/>
      </c>
      <c r="AE190" s="47" t="str">
        <f t="shared" si="18"/>
        <v/>
      </c>
      <c r="AF190" s="47" t="str">
        <f t="shared" si="14"/>
        <v/>
      </c>
      <c r="AG190" s="47" t="str">
        <f t="shared" si="15"/>
        <v/>
      </c>
    </row>
    <row r="191" spans="1:33" x14ac:dyDescent="0.25">
      <c r="A191" s="36">
        <v>3</v>
      </c>
      <c r="B191" s="37" t="s">
        <v>222</v>
      </c>
      <c r="C191" s="37"/>
      <c r="D191" s="37"/>
      <c r="E191" s="37"/>
      <c r="F191" s="40"/>
      <c r="G191" s="49"/>
      <c r="H191" s="40"/>
      <c r="I191" s="40"/>
      <c r="J191" s="42">
        <v>3</v>
      </c>
      <c r="K191" s="43" t="s">
        <v>56</v>
      </c>
      <c r="L191" s="43" t="s">
        <v>266</v>
      </c>
      <c r="M191" s="62">
        <v>105</v>
      </c>
      <c r="N191" s="45">
        <v>2</v>
      </c>
      <c r="O191" s="45">
        <v>315</v>
      </c>
      <c r="P191" s="45">
        <f t="shared" si="0"/>
        <v>315</v>
      </c>
      <c r="Q191" s="46"/>
      <c r="R191" s="46"/>
      <c r="S191" s="47" t="str">
        <f t="shared" si="1"/>
        <v/>
      </c>
      <c r="T191" s="47" t="str">
        <f t="shared" si="2"/>
        <v/>
      </c>
      <c r="U191" s="47">
        <f t="shared" si="3"/>
        <v>315</v>
      </c>
      <c r="V191" s="47" t="str">
        <f t="shared" si="4"/>
        <v/>
      </c>
      <c r="W191" s="47" t="str">
        <f t="shared" si="5"/>
        <v/>
      </c>
      <c r="X191" s="47" t="str">
        <f t="shared" si="6"/>
        <v/>
      </c>
      <c r="Y191" s="47" t="str">
        <f t="shared" si="7"/>
        <v/>
      </c>
      <c r="Z191" s="47" t="str">
        <f t="shared" si="20"/>
        <v/>
      </c>
      <c r="AA191" s="47">
        <f t="shared" si="9"/>
        <v>315</v>
      </c>
      <c r="AB191" s="47" t="str">
        <f t="shared" si="10"/>
        <v/>
      </c>
      <c r="AC191" s="47" t="str">
        <f t="shared" si="11"/>
        <v/>
      </c>
      <c r="AD191" s="47" t="str">
        <f t="shared" si="12"/>
        <v/>
      </c>
      <c r="AE191" s="47" t="str">
        <f t="shared" si="18"/>
        <v/>
      </c>
      <c r="AF191" s="47" t="str">
        <f t="shared" si="14"/>
        <v/>
      </c>
      <c r="AG191" s="47" t="str">
        <f t="shared" si="15"/>
        <v/>
      </c>
    </row>
    <row r="192" spans="1:33" x14ac:dyDescent="0.25">
      <c r="A192" s="36">
        <v>3</v>
      </c>
      <c r="B192" s="37" t="s">
        <v>222</v>
      </c>
      <c r="C192" s="37"/>
      <c r="D192" s="37"/>
      <c r="E192" s="37"/>
      <c r="F192" s="40"/>
      <c r="G192" s="49"/>
      <c r="H192" s="40"/>
      <c r="I192" s="40"/>
      <c r="J192" s="42">
        <v>1</v>
      </c>
      <c r="K192" s="43" t="s">
        <v>214</v>
      </c>
      <c r="L192" s="43" t="s">
        <v>267</v>
      </c>
      <c r="M192" s="62">
        <v>45</v>
      </c>
      <c r="N192" s="45">
        <v>2</v>
      </c>
      <c r="O192" s="45">
        <v>45</v>
      </c>
      <c r="P192" s="45">
        <f t="shared" si="0"/>
        <v>45</v>
      </c>
      <c r="Q192" s="46"/>
      <c r="R192" s="46"/>
      <c r="S192" s="47" t="str">
        <f t="shared" si="1"/>
        <v/>
      </c>
      <c r="T192" s="47" t="str">
        <f t="shared" si="2"/>
        <v/>
      </c>
      <c r="U192" s="47">
        <f t="shared" si="3"/>
        <v>45</v>
      </c>
      <c r="V192" s="47" t="str">
        <f t="shared" si="4"/>
        <v/>
      </c>
      <c r="W192" s="47" t="str">
        <f t="shared" si="5"/>
        <v/>
      </c>
      <c r="X192" s="47" t="str">
        <f t="shared" si="6"/>
        <v/>
      </c>
      <c r="Y192" s="47" t="str">
        <f t="shared" si="7"/>
        <v/>
      </c>
      <c r="Z192" s="47" t="str">
        <f t="shared" si="20"/>
        <v/>
      </c>
      <c r="AA192" s="47">
        <f t="shared" si="9"/>
        <v>45</v>
      </c>
      <c r="AB192" s="47" t="str">
        <f t="shared" si="10"/>
        <v/>
      </c>
      <c r="AC192" s="47" t="str">
        <f t="shared" si="11"/>
        <v/>
      </c>
      <c r="AD192" s="47" t="str">
        <f t="shared" si="12"/>
        <v/>
      </c>
      <c r="AE192" s="47" t="str">
        <f t="shared" si="18"/>
        <v/>
      </c>
      <c r="AF192" s="47" t="str">
        <f t="shared" si="14"/>
        <v/>
      </c>
      <c r="AG192" s="47" t="str">
        <f t="shared" si="15"/>
        <v/>
      </c>
    </row>
    <row r="193" spans="1:33" x14ac:dyDescent="0.25">
      <c r="A193" s="36">
        <v>3</v>
      </c>
      <c r="B193" s="37" t="s">
        <v>222</v>
      </c>
      <c r="C193" s="37"/>
      <c r="D193" s="37"/>
      <c r="E193" s="37"/>
      <c r="F193" s="40"/>
      <c r="G193" s="49"/>
      <c r="H193" s="40"/>
      <c r="I193" s="40"/>
      <c r="J193" s="42">
        <v>6</v>
      </c>
      <c r="K193" s="43" t="s">
        <v>56</v>
      </c>
      <c r="L193" s="43" t="s">
        <v>268</v>
      </c>
      <c r="M193" s="62">
        <v>37</v>
      </c>
      <c r="N193" s="45">
        <v>3</v>
      </c>
      <c r="O193" s="45">
        <v>222</v>
      </c>
      <c r="P193" s="45">
        <f t="shared" si="0"/>
        <v>222</v>
      </c>
      <c r="Q193" s="46"/>
      <c r="R193" s="46"/>
      <c r="S193" s="47" t="str">
        <f t="shared" si="1"/>
        <v/>
      </c>
      <c r="T193" s="47" t="str">
        <f t="shared" si="2"/>
        <v/>
      </c>
      <c r="U193" s="47">
        <f t="shared" si="3"/>
        <v>222</v>
      </c>
      <c r="V193" s="47" t="str">
        <f t="shared" si="4"/>
        <v/>
      </c>
      <c r="W193" s="47" t="str">
        <f t="shared" si="5"/>
        <v/>
      </c>
      <c r="X193" s="47" t="str">
        <f t="shared" si="6"/>
        <v/>
      </c>
      <c r="Y193" s="47" t="str">
        <f t="shared" si="7"/>
        <v/>
      </c>
      <c r="Z193" s="47" t="str">
        <f t="shared" si="20"/>
        <v/>
      </c>
      <c r="AA193" s="47" t="str">
        <f t="shared" si="9"/>
        <v/>
      </c>
      <c r="AB193" s="47">
        <f t="shared" si="10"/>
        <v>222</v>
      </c>
      <c r="AC193" s="47" t="str">
        <f t="shared" si="11"/>
        <v/>
      </c>
      <c r="AD193" s="47" t="str">
        <f t="shared" si="12"/>
        <v/>
      </c>
      <c r="AE193" s="47" t="str">
        <f t="shared" si="18"/>
        <v/>
      </c>
      <c r="AF193" s="47" t="str">
        <f t="shared" si="14"/>
        <v/>
      </c>
      <c r="AG193" s="47" t="str">
        <f t="shared" si="15"/>
        <v/>
      </c>
    </row>
    <row r="194" spans="1:33" x14ac:dyDescent="0.25">
      <c r="A194" s="36">
        <v>3</v>
      </c>
      <c r="B194" s="37" t="s">
        <v>222</v>
      </c>
      <c r="C194" s="37"/>
      <c r="D194" s="37"/>
      <c r="E194" s="37"/>
      <c r="F194" s="40"/>
      <c r="G194" s="49"/>
      <c r="H194" s="40"/>
      <c r="I194" s="40"/>
      <c r="J194" s="42">
        <v>4</v>
      </c>
      <c r="K194" s="43" t="s">
        <v>46</v>
      </c>
      <c r="L194" s="43" t="s">
        <v>269</v>
      </c>
      <c r="M194" s="44">
        <v>26</v>
      </c>
      <c r="N194" s="45">
        <v>2</v>
      </c>
      <c r="O194" s="45">
        <v>104</v>
      </c>
      <c r="P194" s="45">
        <f t="shared" si="0"/>
        <v>104</v>
      </c>
      <c r="Q194" s="46"/>
      <c r="R194" s="46"/>
      <c r="S194" s="47" t="str">
        <f t="shared" si="1"/>
        <v/>
      </c>
      <c r="T194" s="47" t="str">
        <f t="shared" si="2"/>
        <v/>
      </c>
      <c r="U194" s="47">
        <f t="shared" si="3"/>
        <v>104</v>
      </c>
      <c r="V194" s="47" t="str">
        <f t="shared" si="4"/>
        <v/>
      </c>
      <c r="W194" s="47" t="str">
        <f t="shared" si="5"/>
        <v/>
      </c>
      <c r="X194" s="47" t="str">
        <f t="shared" si="6"/>
        <v/>
      </c>
      <c r="Y194" s="47" t="str">
        <f t="shared" si="7"/>
        <v/>
      </c>
      <c r="Z194" s="47" t="str">
        <f t="shared" si="20"/>
        <v/>
      </c>
      <c r="AA194" s="47">
        <f t="shared" si="9"/>
        <v>104</v>
      </c>
      <c r="AB194" s="47" t="str">
        <f t="shared" si="10"/>
        <v/>
      </c>
      <c r="AC194" s="47" t="str">
        <f t="shared" si="11"/>
        <v/>
      </c>
      <c r="AD194" s="47" t="str">
        <f t="shared" si="12"/>
        <v/>
      </c>
      <c r="AE194" s="47" t="str">
        <f t="shared" si="18"/>
        <v/>
      </c>
      <c r="AF194" s="47" t="str">
        <f t="shared" si="14"/>
        <v/>
      </c>
      <c r="AG194" s="47" t="str">
        <f t="shared" si="15"/>
        <v/>
      </c>
    </row>
    <row r="195" spans="1:33" x14ac:dyDescent="0.25">
      <c r="A195" s="36">
        <v>3</v>
      </c>
      <c r="B195" s="37" t="s">
        <v>222</v>
      </c>
      <c r="C195" s="37"/>
      <c r="D195" s="37"/>
      <c r="E195" s="37"/>
      <c r="F195" s="40"/>
      <c r="G195" s="49"/>
      <c r="H195" s="40"/>
      <c r="I195" s="40"/>
      <c r="J195" s="42">
        <v>2</v>
      </c>
      <c r="K195" s="43" t="s">
        <v>46</v>
      </c>
      <c r="L195" s="43" t="s">
        <v>270</v>
      </c>
      <c r="M195" s="62">
        <v>11</v>
      </c>
      <c r="N195" s="45">
        <v>2</v>
      </c>
      <c r="O195" s="45">
        <v>22</v>
      </c>
      <c r="P195" s="45">
        <f t="shared" si="0"/>
        <v>22</v>
      </c>
      <c r="Q195" s="46"/>
      <c r="R195" s="46"/>
      <c r="S195" s="47" t="str">
        <f t="shared" si="1"/>
        <v/>
      </c>
      <c r="T195" s="47" t="str">
        <f t="shared" si="2"/>
        <v/>
      </c>
      <c r="U195" s="47">
        <f t="shared" si="3"/>
        <v>22</v>
      </c>
      <c r="V195" s="47" t="str">
        <f t="shared" si="4"/>
        <v/>
      </c>
      <c r="W195" s="47" t="str">
        <f t="shared" si="5"/>
        <v/>
      </c>
      <c r="X195" s="47" t="str">
        <f t="shared" si="6"/>
        <v/>
      </c>
      <c r="Y195" s="47" t="str">
        <f t="shared" si="7"/>
        <v/>
      </c>
      <c r="Z195" s="47" t="str">
        <f t="shared" si="20"/>
        <v/>
      </c>
      <c r="AA195" s="47">
        <f t="shared" si="9"/>
        <v>22</v>
      </c>
      <c r="AB195" s="47" t="str">
        <f t="shared" si="10"/>
        <v/>
      </c>
      <c r="AC195" s="47" t="str">
        <f t="shared" si="11"/>
        <v/>
      </c>
      <c r="AD195" s="47" t="str">
        <f t="shared" si="12"/>
        <v/>
      </c>
      <c r="AE195" s="47" t="str">
        <f t="shared" si="18"/>
        <v/>
      </c>
      <c r="AF195" s="47" t="str">
        <f t="shared" si="14"/>
        <v/>
      </c>
      <c r="AG195" s="47" t="str">
        <f t="shared" si="15"/>
        <v/>
      </c>
    </row>
    <row r="196" spans="1:33" x14ac:dyDescent="0.25">
      <c r="A196" s="36">
        <v>3</v>
      </c>
      <c r="B196" s="37" t="s">
        <v>222</v>
      </c>
      <c r="C196" s="37"/>
      <c r="D196" s="37"/>
      <c r="E196" s="37"/>
      <c r="F196" s="40"/>
      <c r="G196" s="49"/>
      <c r="H196" s="40"/>
      <c r="I196" s="40"/>
      <c r="J196" s="42">
        <v>18</v>
      </c>
      <c r="K196" s="43" t="s">
        <v>46</v>
      </c>
      <c r="L196" s="43" t="s">
        <v>271</v>
      </c>
      <c r="M196" s="44">
        <v>20</v>
      </c>
      <c r="N196" s="45">
        <v>3</v>
      </c>
      <c r="O196" s="45">
        <v>360</v>
      </c>
      <c r="P196" s="45">
        <f t="shared" si="0"/>
        <v>360</v>
      </c>
      <c r="Q196" s="46"/>
      <c r="R196" s="46"/>
      <c r="S196" s="47" t="str">
        <f t="shared" si="1"/>
        <v/>
      </c>
      <c r="T196" s="47" t="str">
        <f t="shared" si="2"/>
        <v/>
      </c>
      <c r="U196" s="47">
        <f t="shared" si="3"/>
        <v>360</v>
      </c>
      <c r="V196" s="47" t="str">
        <f t="shared" si="4"/>
        <v/>
      </c>
      <c r="W196" s="47" t="str">
        <f t="shared" si="5"/>
        <v/>
      </c>
      <c r="X196" s="47" t="str">
        <f t="shared" si="6"/>
        <v/>
      </c>
      <c r="Y196" s="47" t="str">
        <f t="shared" si="7"/>
        <v/>
      </c>
      <c r="Z196" s="47" t="str">
        <f t="shared" si="20"/>
        <v/>
      </c>
      <c r="AA196" s="47" t="str">
        <f t="shared" si="9"/>
        <v/>
      </c>
      <c r="AB196" s="47">
        <f t="shared" si="10"/>
        <v>360</v>
      </c>
      <c r="AC196" s="47" t="str">
        <f t="shared" si="11"/>
        <v/>
      </c>
      <c r="AD196" s="47" t="str">
        <f t="shared" si="12"/>
        <v/>
      </c>
      <c r="AE196" s="47" t="str">
        <f t="shared" si="18"/>
        <v/>
      </c>
      <c r="AF196" s="47" t="str">
        <f t="shared" si="14"/>
        <v/>
      </c>
      <c r="AG196" s="47" t="str">
        <f t="shared" si="15"/>
        <v/>
      </c>
    </row>
    <row r="197" spans="1:33" x14ac:dyDescent="0.25">
      <c r="A197" s="36">
        <v>3</v>
      </c>
      <c r="B197" s="37" t="s">
        <v>222</v>
      </c>
      <c r="C197" s="37"/>
      <c r="D197" s="37"/>
      <c r="E197" s="37"/>
      <c r="F197" s="40"/>
      <c r="G197" s="49"/>
      <c r="H197" s="40"/>
      <c r="I197" s="40"/>
      <c r="J197" s="42">
        <v>4</v>
      </c>
      <c r="K197" s="43" t="s">
        <v>56</v>
      </c>
      <c r="L197" s="43" t="s">
        <v>272</v>
      </c>
      <c r="M197" s="62">
        <v>56</v>
      </c>
      <c r="N197" s="45">
        <v>3</v>
      </c>
      <c r="O197" s="45">
        <v>224</v>
      </c>
      <c r="P197" s="45">
        <f t="shared" si="0"/>
        <v>224</v>
      </c>
      <c r="Q197" s="46"/>
      <c r="R197" s="46"/>
      <c r="S197" s="47" t="str">
        <f t="shared" si="1"/>
        <v/>
      </c>
      <c r="T197" s="47" t="str">
        <f t="shared" si="2"/>
        <v/>
      </c>
      <c r="U197" s="47">
        <f t="shared" si="3"/>
        <v>224</v>
      </c>
      <c r="V197" s="47" t="str">
        <f t="shared" si="4"/>
        <v/>
      </c>
      <c r="W197" s="47" t="str">
        <f t="shared" si="5"/>
        <v/>
      </c>
      <c r="X197" s="47" t="str">
        <f t="shared" si="6"/>
        <v/>
      </c>
      <c r="Y197" s="47" t="str">
        <f t="shared" si="7"/>
        <v/>
      </c>
      <c r="Z197" s="47" t="str">
        <f t="shared" si="20"/>
        <v/>
      </c>
      <c r="AA197" s="47" t="str">
        <f t="shared" si="9"/>
        <v/>
      </c>
      <c r="AB197" s="47">
        <f t="shared" si="10"/>
        <v>224</v>
      </c>
      <c r="AC197" s="47" t="str">
        <f t="shared" si="11"/>
        <v/>
      </c>
      <c r="AD197" s="47" t="str">
        <f t="shared" si="12"/>
        <v/>
      </c>
      <c r="AE197" s="47" t="str">
        <f t="shared" si="18"/>
        <v/>
      </c>
      <c r="AF197" s="47" t="str">
        <f t="shared" si="14"/>
        <v/>
      </c>
      <c r="AG197" s="47" t="str">
        <f t="shared" si="15"/>
        <v/>
      </c>
    </row>
    <row r="198" spans="1:33" x14ac:dyDescent="0.25">
      <c r="A198" s="36">
        <v>3</v>
      </c>
      <c r="B198" s="37" t="s">
        <v>222</v>
      </c>
      <c r="C198" s="37"/>
      <c r="D198" s="37"/>
      <c r="E198" s="37"/>
      <c r="F198" s="40"/>
      <c r="G198" s="49"/>
      <c r="H198" s="40"/>
      <c r="I198" s="40"/>
      <c r="J198" s="42">
        <v>4</v>
      </c>
      <c r="K198" s="43" t="s">
        <v>46</v>
      </c>
      <c r="L198" s="43" t="s">
        <v>273</v>
      </c>
      <c r="M198" s="62">
        <v>14</v>
      </c>
      <c r="N198" s="45">
        <v>2</v>
      </c>
      <c r="O198" s="45">
        <v>56</v>
      </c>
      <c r="P198" s="45">
        <f t="shared" si="0"/>
        <v>56</v>
      </c>
      <c r="Q198" s="46"/>
      <c r="R198" s="46"/>
      <c r="S198" s="47" t="str">
        <f t="shared" si="1"/>
        <v/>
      </c>
      <c r="T198" s="47" t="str">
        <f t="shared" si="2"/>
        <v/>
      </c>
      <c r="U198" s="47">
        <f t="shared" si="3"/>
        <v>56</v>
      </c>
      <c r="V198" s="47" t="str">
        <f t="shared" si="4"/>
        <v/>
      </c>
      <c r="W198" s="47" t="str">
        <f t="shared" si="5"/>
        <v/>
      </c>
      <c r="X198" s="47" t="str">
        <f t="shared" si="6"/>
        <v/>
      </c>
      <c r="Y198" s="47" t="str">
        <f t="shared" si="7"/>
        <v/>
      </c>
      <c r="Z198" s="47" t="str">
        <f t="shared" si="20"/>
        <v/>
      </c>
      <c r="AA198" s="47">
        <f t="shared" si="9"/>
        <v>56</v>
      </c>
      <c r="AB198" s="47" t="str">
        <f t="shared" si="10"/>
        <v/>
      </c>
      <c r="AC198" s="47" t="str">
        <f t="shared" si="11"/>
        <v/>
      </c>
      <c r="AD198" s="47" t="str">
        <f t="shared" si="12"/>
        <v/>
      </c>
      <c r="AE198" s="47" t="str">
        <f t="shared" si="18"/>
        <v/>
      </c>
      <c r="AF198" s="47" t="str">
        <f t="shared" si="14"/>
        <v/>
      </c>
      <c r="AG198" s="47" t="str">
        <f t="shared" si="15"/>
        <v/>
      </c>
    </row>
    <row r="199" spans="1:33" x14ac:dyDescent="0.25">
      <c r="A199" s="36">
        <v>3</v>
      </c>
      <c r="B199" s="37" t="s">
        <v>222</v>
      </c>
      <c r="C199" s="37"/>
      <c r="D199" s="37"/>
      <c r="E199" s="37"/>
      <c r="F199" s="40"/>
      <c r="G199" s="49"/>
      <c r="H199" s="40"/>
      <c r="I199" s="40"/>
      <c r="J199" s="42">
        <v>3</v>
      </c>
      <c r="K199" s="43" t="s">
        <v>56</v>
      </c>
      <c r="L199" s="43" t="s">
        <v>274</v>
      </c>
      <c r="M199" s="62">
        <v>28.5</v>
      </c>
      <c r="N199" s="45">
        <v>3</v>
      </c>
      <c r="O199" s="45">
        <v>85.5</v>
      </c>
      <c r="P199" s="45">
        <f t="shared" si="0"/>
        <v>85.5</v>
      </c>
      <c r="Q199" s="46"/>
      <c r="R199" s="46"/>
      <c r="S199" s="47" t="str">
        <f t="shared" si="1"/>
        <v/>
      </c>
      <c r="T199" s="47" t="str">
        <f t="shared" si="2"/>
        <v/>
      </c>
      <c r="U199" s="47">
        <f t="shared" si="3"/>
        <v>85.5</v>
      </c>
      <c r="V199" s="47" t="str">
        <f t="shared" si="4"/>
        <v/>
      </c>
      <c r="W199" s="47" t="str">
        <f t="shared" si="5"/>
        <v/>
      </c>
      <c r="X199" s="47" t="str">
        <f t="shared" si="6"/>
        <v/>
      </c>
      <c r="Y199" s="47" t="str">
        <f t="shared" si="7"/>
        <v/>
      </c>
      <c r="Z199" s="47" t="str">
        <f t="shared" si="20"/>
        <v/>
      </c>
      <c r="AA199" s="47" t="str">
        <f t="shared" si="9"/>
        <v/>
      </c>
      <c r="AB199" s="47">
        <f t="shared" si="10"/>
        <v>85.5</v>
      </c>
      <c r="AC199" s="47" t="str">
        <f t="shared" si="11"/>
        <v/>
      </c>
      <c r="AD199" s="47" t="str">
        <f t="shared" si="12"/>
        <v/>
      </c>
      <c r="AE199" s="47" t="str">
        <f t="shared" si="18"/>
        <v/>
      </c>
      <c r="AF199" s="47" t="str">
        <f t="shared" si="14"/>
        <v/>
      </c>
      <c r="AG199" s="47" t="str">
        <f t="shared" si="15"/>
        <v/>
      </c>
    </row>
    <row r="200" spans="1:33" x14ac:dyDescent="0.25">
      <c r="A200" s="36">
        <v>3</v>
      </c>
      <c r="B200" s="37" t="s">
        <v>222</v>
      </c>
      <c r="C200" s="37"/>
      <c r="D200" s="37"/>
      <c r="E200" s="37"/>
      <c r="F200" s="40"/>
      <c r="G200" s="49"/>
      <c r="H200" s="40"/>
      <c r="I200" s="40"/>
      <c r="J200" s="42">
        <v>1</v>
      </c>
      <c r="K200" s="43" t="s">
        <v>214</v>
      </c>
      <c r="L200" s="43" t="s">
        <v>275</v>
      </c>
      <c r="M200" s="62">
        <v>25.5</v>
      </c>
      <c r="N200" s="45">
        <v>2</v>
      </c>
      <c r="O200" s="45">
        <v>25.5</v>
      </c>
      <c r="P200" s="45">
        <f t="shared" si="0"/>
        <v>25.5</v>
      </c>
      <c r="Q200" s="46"/>
      <c r="R200" s="46"/>
      <c r="S200" s="47" t="str">
        <f t="shared" si="1"/>
        <v/>
      </c>
      <c r="T200" s="47" t="str">
        <f t="shared" si="2"/>
        <v/>
      </c>
      <c r="U200" s="47">
        <f t="shared" si="3"/>
        <v>25.5</v>
      </c>
      <c r="V200" s="47" t="str">
        <f t="shared" si="4"/>
        <v/>
      </c>
      <c r="W200" s="47" t="str">
        <f t="shared" si="5"/>
        <v/>
      </c>
      <c r="X200" s="47" t="str">
        <f t="shared" si="6"/>
        <v/>
      </c>
      <c r="Y200" s="47" t="str">
        <f t="shared" si="7"/>
        <v/>
      </c>
      <c r="Z200" s="47" t="str">
        <f t="shared" si="20"/>
        <v/>
      </c>
      <c r="AA200" s="47">
        <f t="shared" si="9"/>
        <v>25.5</v>
      </c>
      <c r="AB200" s="47" t="str">
        <f t="shared" si="10"/>
        <v/>
      </c>
      <c r="AC200" s="47" t="str">
        <f t="shared" si="11"/>
        <v/>
      </c>
      <c r="AD200" s="47" t="str">
        <f t="shared" si="12"/>
        <v/>
      </c>
      <c r="AE200" s="47" t="str">
        <f t="shared" si="18"/>
        <v/>
      </c>
      <c r="AF200" s="47" t="str">
        <f t="shared" si="14"/>
        <v/>
      </c>
      <c r="AG200" s="47" t="str">
        <f t="shared" si="15"/>
        <v/>
      </c>
    </row>
    <row r="201" spans="1:33" x14ac:dyDescent="0.25">
      <c r="A201" s="36">
        <v>3</v>
      </c>
      <c r="B201" s="37" t="s">
        <v>222</v>
      </c>
      <c r="C201" s="37"/>
      <c r="D201" s="37"/>
      <c r="E201" s="37"/>
      <c r="F201" s="40"/>
      <c r="G201" s="49"/>
      <c r="H201" s="40"/>
      <c r="I201" s="40"/>
      <c r="J201" s="42">
        <v>1</v>
      </c>
      <c r="K201" s="43" t="s">
        <v>214</v>
      </c>
      <c r="L201" s="43" t="s">
        <v>276</v>
      </c>
      <c r="M201" s="62">
        <v>43</v>
      </c>
      <c r="N201" s="45">
        <v>2</v>
      </c>
      <c r="O201" s="45">
        <v>43</v>
      </c>
      <c r="P201" s="45">
        <f t="shared" si="0"/>
        <v>43</v>
      </c>
      <c r="Q201" s="46"/>
      <c r="R201" s="46"/>
      <c r="S201" s="47" t="str">
        <f t="shared" si="1"/>
        <v/>
      </c>
      <c r="T201" s="47" t="str">
        <f t="shared" si="2"/>
        <v/>
      </c>
      <c r="U201" s="47">
        <f t="shared" si="3"/>
        <v>43</v>
      </c>
      <c r="V201" s="47" t="str">
        <f t="shared" si="4"/>
        <v/>
      </c>
      <c r="W201" s="47" t="str">
        <f t="shared" si="5"/>
        <v/>
      </c>
      <c r="X201" s="47" t="str">
        <f t="shared" si="6"/>
        <v/>
      </c>
      <c r="Y201" s="47" t="str">
        <f t="shared" si="7"/>
        <v/>
      </c>
      <c r="Z201" s="47" t="str">
        <f t="shared" si="20"/>
        <v/>
      </c>
      <c r="AA201" s="47">
        <f t="shared" si="9"/>
        <v>43</v>
      </c>
      <c r="AB201" s="47" t="str">
        <f t="shared" si="10"/>
        <v/>
      </c>
      <c r="AC201" s="47" t="str">
        <f t="shared" si="11"/>
        <v/>
      </c>
      <c r="AD201" s="47" t="str">
        <f t="shared" si="12"/>
        <v/>
      </c>
      <c r="AE201" s="47" t="str">
        <f t="shared" si="18"/>
        <v/>
      </c>
      <c r="AF201" s="47" t="str">
        <f t="shared" si="14"/>
        <v/>
      </c>
      <c r="AG201" s="47" t="str">
        <f t="shared" si="15"/>
        <v/>
      </c>
    </row>
    <row r="202" spans="1:33" x14ac:dyDescent="0.25">
      <c r="A202" s="36">
        <v>3</v>
      </c>
      <c r="B202" s="37" t="s">
        <v>222</v>
      </c>
      <c r="C202" s="37"/>
      <c r="D202" s="37"/>
      <c r="E202" s="37"/>
      <c r="F202" s="40"/>
      <c r="G202" s="49"/>
      <c r="H202" s="40"/>
      <c r="I202" s="40"/>
      <c r="J202" s="42">
        <v>2</v>
      </c>
      <c r="K202" s="43" t="s">
        <v>214</v>
      </c>
      <c r="L202" s="43" t="s">
        <v>277</v>
      </c>
      <c r="M202" s="62">
        <v>144</v>
      </c>
      <c r="N202" s="45">
        <v>2</v>
      </c>
      <c r="O202" s="45">
        <v>288</v>
      </c>
      <c r="P202" s="45">
        <f t="shared" si="0"/>
        <v>288</v>
      </c>
      <c r="Q202" s="46"/>
      <c r="R202" s="46"/>
      <c r="S202" s="47" t="str">
        <f t="shared" si="1"/>
        <v/>
      </c>
      <c r="T202" s="47" t="str">
        <f t="shared" si="2"/>
        <v/>
      </c>
      <c r="U202" s="47">
        <f t="shared" si="3"/>
        <v>288</v>
      </c>
      <c r="V202" s="47" t="str">
        <f t="shared" si="4"/>
        <v/>
      </c>
      <c r="W202" s="47" t="str">
        <f t="shared" si="5"/>
        <v/>
      </c>
      <c r="X202" s="47" t="str">
        <f t="shared" si="6"/>
        <v/>
      </c>
      <c r="Y202" s="47" t="str">
        <f t="shared" si="7"/>
        <v/>
      </c>
      <c r="Z202" s="47" t="str">
        <f t="shared" si="20"/>
        <v/>
      </c>
      <c r="AA202" s="47">
        <f t="shared" si="9"/>
        <v>288</v>
      </c>
      <c r="AB202" s="47" t="str">
        <f t="shared" si="10"/>
        <v/>
      </c>
      <c r="AC202" s="47" t="str">
        <f t="shared" si="11"/>
        <v/>
      </c>
      <c r="AD202" s="47" t="str">
        <f t="shared" si="12"/>
        <v/>
      </c>
      <c r="AE202" s="47" t="str">
        <f t="shared" si="18"/>
        <v/>
      </c>
      <c r="AF202" s="47" t="str">
        <f t="shared" si="14"/>
        <v/>
      </c>
      <c r="AG202" s="47" t="str">
        <f t="shared" si="15"/>
        <v/>
      </c>
    </row>
    <row r="203" spans="1:33" x14ac:dyDescent="0.25">
      <c r="A203" s="36">
        <v>3</v>
      </c>
      <c r="B203" s="37" t="s">
        <v>222</v>
      </c>
      <c r="C203" s="37"/>
      <c r="D203" s="37"/>
      <c r="E203" s="37"/>
      <c r="F203" s="40"/>
      <c r="G203" s="49"/>
      <c r="H203" s="40"/>
      <c r="I203" s="40"/>
      <c r="J203" s="42">
        <v>2</v>
      </c>
      <c r="K203" s="43" t="s">
        <v>56</v>
      </c>
      <c r="L203" s="43" t="s">
        <v>278</v>
      </c>
      <c r="M203" s="62">
        <v>139</v>
      </c>
      <c r="N203" s="45">
        <v>2</v>
      </c>
      <c r="O203" s="45">
        <v>278</v>
      </c>
      <c r="P203" s="45">
        <f t="shared" si="0"/>
        <v>278</v>
      </c>
      <c r="Q203" s="46"/>
      <c r="R203" s="46"/>
      <c r="S203" s="47" t="str">
        <f t="shared" si="1"/>
        <v/>
      </c>
      <c r="T203" s="47" t="str">
        <f t="shared" si="2"/>
        <v/>
      </c>
      <c r="U203" s="47">
        <f t="shared" si="3"/>
        <v>278</v>
      </c>
      <c r="V203" s="47" t="str">
        <f t="shared" si="4"/>
        <v/>
      </c>
      <c r="W203" s="47" t="str">
        <f t="shared" si="5"/>
        <v/>
      </c>
      <c r="X203" s="47" t="str">
        <f t="shared" si="6"/>
        <v/>
      </c>
      <c r="Y203" s="47" t="str">
        <f t="shared" si="7"/>
        <v/>
      </c>
      <c r="Z203" s="47" t="str">
        <f t="shared" si="20"/>
        <v/>
      </c>
      <c r="AA203" s="47">
        <f t="shared" si="9"/>
        <v>278</v>
      </c>
      <c r="AB203" s="47" t="str">
        <f t="shared" si="10"/>
        <v/>
      </c>
      <c r="AC203" s="47" t="str">
        <f t="shared" si="11"/>
        <v/>
      </c>
      <c r="AD203" s="47" t="str">
        <f t="shared" si="12"/>
        <v/>
      </c>
      <c r="AE203" s="47" t="str">
        <f t="shared" si="18"/>
        <v/>
      </c>
      <c r="AF203" s="47" t="str">
        <f t="shared" si="14"/>
        <v/>
      </c>
      <c r="AG203" s="47" t="str">
        <f t="shared" si="15"/>
        <v/>
      </c>
    </row>
    <row r="204" spans="1:33" x14ac:dyDescent="0.25">
      <c r="A204" s="36">
        <v>3</v>
      </c>
      <c r="B204" s="37" t="s">
        <v>222</v>
      </c>
      <c r="C204" s="37"/>
      <c r="D204" s="37"/>
      <c r="E204" s="37"/>
      <c r="F204" s="40"/>
      <c r="G204" s="49"/>
      <c r="H204" s="40"/>
      <c r="I204" s="40"/>
      <c r="J204" s="42">
        <v>1</v>
      </c>
      <c r="K204" s="43" t="s">
        <v>56</v>
      </c>
      <c r="L204" s="43" t="s">
        <v>279</v>
      </c>
      <c r="M204" s="62">
        <v>100</v>
      </c>
      <c r="N204" s="45">
        <v>2</v>
      </c>
      <c r="O204" s="45">
        <v>100</v>
      </c>
      <c r="P204" s="45">
        <f t="shared" si="0"/>
        <v>100</v>
      </c>
      <c r="Q204" s="46"/>
      <c r="R204" s="46"/>
      <c r="S204" s="47" t="str">
        <f t="shared" si="1"/>
        <v/>
      </c>
      <c r="T204" s="47" t="str">
        <f t="shared" si="2"/>
        <v/>
      </c>
      <c r="U204" s="47">
        <f t="shared" si="3"/>
        <v>100</v>
      </c>
      <c r="V204" s="47" t="str">
        <f t="shared" si="4"/>
        <v/>
      </c>
      <c r="W204" s="47" t="str">
        <f t="shared" si="5"/>
        <v/>
      </c>
      <c r="X204" s="47" t="str">
        <f t="shared" si="6"/>
        <v/>
      </c>
      <c r="Y204" s="47" t="str">
        <f t="shared" si="7"/>
        <v/>
      </c>
      <c r="Z204" s="47" t="str">
        <f t="shared" si="20"/>
        <v/>
      </c>
      <c r="AA204" s="47">
        <f t="shared" si="9"/>
        <v>100</v>
      </c>
      <c r="AB204" s="47" t="str">
        <f t="shared" si="10"/>
        <v/>
      </c>
      <c r="AC204" s="47" t="str">
        <f t="shared" si="11"/>
        <v/>
      </c>
      <c r="AD204" s="47" t="str">
        <f t="shared" si="12"/>
        <v/>
      </c>
      <c r="AE204" s="47" t="str">
        <f t="shared" si="18"/>
        <v/>
      </c>
      <c r="AF204" s="47" t="str">
        <f t="shared" si="14"/>
        <v/>
      </c>
      <c r="AG204" s="47" t="str">
        <f t="shared" si="15"/>
        <v/>
      </c>
    </row>
    <row r="205" spans="1:33" x14ac:dyDescent="0.25">
      <c r="A205" s="36">
        <v>3</v>
      </c>
      <c r="B205" s="37" t="s">
        <v>222</v>
      </c>
      <c r="C205" s="37"/>
      <c r="D205" s="37"/>
      <c r="E205" s="37"/>
      <c r="F205" s="40"/>
      <c r="G205" s="49"/>
      <c r="H205" s="40"/>
      <c r="I205" s="40"/>
      <c r="J205" s="42">
        <v>1</v>
      </c>
      <c r="K205" s="43" t="s">
        <v>56</v>
      </c>
      <c r="L205" s="43" t="s">
        <v>280</v>
      </c>
      <c r="M205" s="62">
        <v>106</v>
      </c>
      <c r="N205" s="45">
        <v>2</v>
      </c>
      <c r="O205" s="45">
        <v>106</v>
      </c>
      <c r="P205" s="45">
        <f t="shared" si="0"/>
        <v>106</v>
      </c>
      <c r="Q205" s="46"/>
      <c r="R205" s="46"/>
      <c r="S205" s="47" t="str">
        <f t="shared" si="1"/>
        <v/>
      </c>
      <c r="T205" s="47" t="str">
        <f t="shared" si="2"/>
        <v/>
      </c>
      <c r="U205" s="47">
        <f t="shared" si="3"/>
        <v>106</v>
      </c>
      <c r="V205" s="47" t="str">
        <f t="shared" si="4"/>
        <v/>
      </c>
      <c r="W205" s="47" t="str">
        <f t="shared" si="5"/>
        <v/>
      </c>
      <c r="X205" s="47" t="str">
        <f t="shared" si="6"/>
        <v/>
      </c>
      <c r="Y205" s="47" t="str">
        <f t="shared" si="7"/>
        <v/>
      </c>
      <c r="Z205" s="47" t="str">
        <f t="shared" si="20"/>
        <v/>
      </c>
      <c r="AA205" s="47">
        <f t="shared" si="9"/>
        <v>106</v>
      </c>
      <c r="AB205" s="47" t="str">
        <f t="shared" si="10"/>
        <v/>
      </c>
      <c r="AC205" s="47" t="str">
        <f t="shared" si="11"/>
        <v/>
      </c>
      <c r="AD205" s="47" t="str">
        <f t="shared" si="12"/>
        <v/>
      </c>
      <c r="AE205" s="47" t="str">
        <f t="shared" si="18"/>
        <v/>
      </c>
      <c r="AF205" s="47" t="str">
        <f t="shared" si="14"/>
        <v/>
      </c>
      <c r="AG205" s="47" t="str">
        <f t="shared" si="15"/>
        <v/>
      </c>
    </row>
    <row r="206" spans="1:33" x14ac:dyDescent="0.25">
      <c r="A206" s="36">
        <v>3</v>
      </c>
      <c r="B206" s="37" t="s">
        <v>222</v>
      </c>
      <c r="C206" s="37"/>
      <c r="D206" s="37"/>
      <c r="E206" s="37"/>
      <c r="F206" s="40"/>
      <c r="G206" s="49"/>
      <c r="H206" s="40"/>
      <c r="I206" s="40"/>
      <c r="J206" s="42">
        <v>1</v>
      </c>
      <c r="K206" s="43" t="s">
        <v>214</v>
      </c>
      <c r="L206" s="43" t="s">
        <v>281</v>
      </c>
      <c r="M206" s="62">
        <v>145</v>
      </c>
      <c r="N206" s="45">
        <v>2</v>
      </c>
      <c r="O206" s="45">
        <v>145</v>
      </c>
      <c r="P206" s="45">
        <f t="shared" si="0"/>
        <v>145</v>
      </c>
      <c r="Q206" s="46"/>
      <c r="R206" s="46"/>
      <c r="S206" s="47" t="str">
        <f t="shared" si="1"/>
        <v/>
      </c>
      <c r="T206" s="47" t="str">
        <f t="shared" si="2"/>
        <v/>
      </c>
      <c r="U206" s="47">
        <f t="shared" si="3"/>
        <v>145</v>
      </c>
      <c r="V206" s="47" t="str">
        <f t="shared" si="4"/>
        <v/>
      </c>
      <c r="W206" s="47" t="str">
        <f t="shared" si="5"/>
        <v/>
      </c>
      <c r="X206" s="47" t="str">
        <f t="shared" si="6"/>
        <v/>
      </c>
      <c r="Y206" s="47" t="str">
        <f t="shared" si="7"/>
        <v/>
      </c>
      <c r="Z206" s="47" t="str">
        <f t="shared" si="20"/>
        <v/>
      </c>
      <c r="AA206" s="47">
        <f t="shared" si="9"/>
        <v>145</v>
      </c>
      <c r="AB206" s="47" t="str">
        <f t="shared" si="10"/>
        <v/>
      </c>
      <c r="AC206" s="47" t="str">
        <f t="shared" si="11"/>
        <v/>
      </c>
      <c r="AD206" s="47" t="str">
        <f t="shared" si="12"/>
        <v/>
      </c>
      <c r="AE206" s="47" t="str">
        <f t="shared" si="18"/>
        <v/>
      </c>
      <c r="AF206" s="47" t="str">
        <f t="shared" si="14"/>
        <v/>
      </c>
      <c r="AG206" s="47" t="str">
        <f t="shared" si="15"/>
        <v/>
      </c>
    </row>
    <row r="207" spans="1:33" x14ac:dyDescent="0.25">
      <c r="A207" s="36">
        <v>2</v>
      </c>
      <c r="B207" s="54" t="s">
        <v>282</v>
      </c>
      <c r="C207" s="54"/>
      <c r="D207" s="54"/>
      <c r="E207" s="54"/>
      <c r="F207" s="54"/>
      <c r="G207" s="56">
        <v>45675</v>
      </c>
      <c r="H207" s="54"/>
      <c r="I207" s="54"/>
      <c r="J207" s="57">
        <v>243</v>
      </c>
      <c r="K207" s="54" t="s">
        <v>283</v>
      </c>
      <c r="L207" s="54" t="s">
        <v>284</v>
      </c>
      <c r="M207" s="64">
        <v>10</v>
      </c>
      <c r="N207" s="59">
        <v>1</v>
      </c>
      <c r="O207" s="59">
        <v>2430</v>
      </c>
      <c r="P207" s="59">
        <f t="shared" si="0"/>
        <v>2430</v>
      </c>
      <c r="Q207" s="54"/>
      <c r="R207" s="54"/>
      <c r="S207" s="60" t="str">
        <f t="shared" si="1"/>
        <v/>
      </c>
      <c r="T207" s="60">
        <f t="shared" si="2"/>
        <v>2430</v>
      </c>
      <c r="U207" s="60" t="str">
        <f t="shared" si="3"/>
        <v/>
      </c>
      <c r="V207" s="60" t="str">
        <f t="shared" si="4"/>
        <v/>
      </c>
      <c r="W207" s="60" t="str">
        <f t="shared" si="5"/>
        <v/>
      </c>
      <c r="X207" s="60" t="str">
        <f t="shared" si="6"/>
        <v/>
      </c>
      <c r="Y207" s="60" t="str">
        <f t="shared" si="7"/>
        <v/>
      </c>
      <c r="Z207" s="60"/>
      <c r="AA207" s="60" t="str">
        <f t="shared" si="9"/>
        <v/>
      </c>
      <c r="AB207" s="60" t="str">
        <f t="shared" si="10"/>
        <v/>
      </c>
      <c r="AC207" s="60" t="str">
        <f t="shared" si="11"/>
        <v/>
      </c>
      <c r="AD207" s="60" t="str">
        <f t="shared" si="12"/>
        <v/>
      </c>
      <c r="AE207" s="60" t="str">
        <f t="shared" si="18"/>
        <v/>
      </c>
      <c r="AF207" s="60" t="str">
        <f t="shared" si="14"/>
        <v/>
      </c>
      <c r="AG207" s="60" t="str">
        <f t="shared" si="15"/>
        <v/>
      </c>
    </row>
    <row r="208" spans="1:33" x14ac:dyDescent="0.25">
      <c r="A208" s="36">
        <v>2</v>
      </c>
      <c r="B208" s="54" t="s">
        <v>282</v>
      </c>
      <c r="C208" s="54"/>
      <c r="D208" s="54"/>
      <c r="E208" s="54"/>
      <c r="F208" s="54"/>
      <c r="G208" s="65"/>
      <c r="H208" s="54"/>
      <c r="I208" s="54"/>
      <c r="J208" s="57">
        <v>167</v>
      </c>
      <c r="K208" s="54" t="s">
        <v>283</v>
      </c>
      <c r="L208" s="54" t="s">
        <v>285</v>
      </c>
      <c r="M208" s="64">
        <v>12</v>
      </c>
      <c r="N208" s="59">
        <v>1</v>
      </c>
      <c r="O208" s="59">
        <v>2004</v>
      </c>
      <c r="P208" s="59">
        <f t="shared" si="0"/>
        <v>2004</v>
      </c>
      <c r="Q208" s="54"/>
      <c r="R208" s="54"/>
      <c r="S208" s="60" t="str">
        <f t="shared" si="1"/>
        <v/>
      </c>
      <c r="T208" s="60">
        <f t="shared" si="2"/>
        <v>2004</v>
      </c>
      <c r="U208" s="60" t="str">
        <f t="shared" si="3"/>
        <v/>
      </c>
      <c r="V208" s="60" t="str">
        <f t="shared" si="4"/>
        <v/>
      </c>
      <c r="W208" s="60" t="str">
        <f t="shared" si="5"/>
        <v/>
      </c>
      <c r="X208" s="60" t="str">
        <f t="shared" si="6"/>
        <v/>
      </c>
      <c r="Y208" s="60" t="str">
        <f t="shared" si="7"/>
        <v/>
      </c>
      <c r="Z208" s="60"/>
      <c r="AA208" s="60" t="str">
        <f t="shared" si="9"/>
        <v/>
      </c>
      <c r="AB208" s="60" t="str">
        <f t="shared" si="10"/>
        <v/>
      </c>
      <c r="AC208" s="60" t="str">
        <f t="shared" si="11"/>
        <v/>
      </c>
      <c r="AD208" s="60" t="str">
        <f t="shared" si="12"/>
        <v/>
      </c>
      <c r="AE208" s="60" t="str">
        <f t="shared" si="18"/>
        <v/>
      </c>
      <c r="AF208" s="60" t="str">
        <f t="shared" si="14"/>
        <v/>
      </c>
      <c r="AG208" s="60" t="str">
        <f t="shared" si="15"/>
        <v/>
      </c>
    </row>
    <row r="209" spans="1:33" x14ac:dyDescent="0.25">
      <c r="A209" s="36">
        <v>2</v>
      </c>
      <c r="B209" s="54" t="s">
        <v>282</v>
      </c>
      <c r="C209" s="54"/>
      <c r="D209" s="54"/>
      <c r="E209" s="54"/>
      <c r="F209" s="54"/>
      <c r="G209" s="65"/>
      <c r="H209" s="54"/>
      <c r="I209" s="54"/>
      <c r="J209" s="57">
        <v>30</v>
      </c>
      <c r="K209" s="54" t="s">
        <v>283</v>
      </c>
      <c r="L209" s="54" t="s">
        <v>286</v>
      </c>
      <c r="M209" s="64">
        <v>15</v>
      </c>
      <c r="N209" s="59">
        <v>1</v>
      </c>
      <c r="O209" s="59">
        <v>450</v>
      </c>
      <c r="P209" s="59">
        <f t="shared" si="0"/>
        <v>450</v>
      </c>
      <c r="Q209" s="54"/>
      <c r="R209" s="54"/>
      <c r="S209" s="60" t="str">
        <f t="shared" si="1"/>
        <v/>
      </c>
      <c r="T209" s="60">
        <f t="shared" si="2"/>
        <v>450</v>
      </c>
      <c r="U209" s="60" t="str">
        <f t="shared" si="3"/>
        <v/>
      </c>
      <c r="V209" s="60" t="str">
        <f t="shared" si="4"/>
        <v/>
      </c>
      <c r="W209" s="60" t="str">
        <f t="shared" si="5"/>
        <v/>
      </c>
      <c r="X209" s="60" t="str">
        <f t="shared" si="6"/>
        <v/>
      </c>
      <c r="Y209" s="60" t="str">
        <f t="shared" si="7"/>
        <v/>
      </c>
      <c r="Z209" s="60"/>
      <c r="AA209" s="60" t="str">
        <f t="shared" si="9"/>
        <v/>
      </c>
      <c r="AB209" s="60" t="str">
        <f t="shared" si="10"/>
        <v/>
      </c>
      <c r="AC209" s="60" t="str">
        <f t="shared" si="11"/>
        <v/>
      </c>
      <c r="AD209" s="60" t="str">
        <f t="shared" si="12"/>
        <v/>
      </c>
      <c r="AE209" s="60" t="str">
        <f t="shared" si="18"/>
        <v/>
      </c>
      <c r="AF209" s="60" t="str">
        <f t="shared" si="14"/>
        <v/>
      </c>
      <c r="AG209" s="60" t="str">
        <f t="shared" si="15"/>
        <v/>
      </c>
    </row>
    <row r="210" spans="1:33" x14ac:dyDescent="0.25">
      <c r="A210" s="36">
        <v>2</v>
      </c>
      <c r="B210" s="54" t="s">
        <v>282</v>
      </c>
      <c r="C210" s="54"/>
      <c r="D210" s="54"/>
      <c r="E210" s="54"/>
      <c r="F210" s="54"/>
      <c r="G210" s="65"/>
      <c r="H210" s="54"/>
      <c r="I210" s="54"/>
      <c r="J210" s="57">
        <v>16</v>
      </c>
      <c r="K210" s="54" t="s">
        <v>283</v>
      </c>
      <c r="L210" s="54" t="s">
        <v>287</v>
      </c>
      <c r="M210" s="64">
        <v>12</v>
      </c>
      <c r="N210" s="59">
        <v>1</v>
      </c>
      <c r="O210" s="59">
        <v>192</v>
      </c>
      <c r="P210" s="59">
        <f t="shared" si="0"/>
        <v>192</v>
      </c>
      <c r="Q210" s="54"/>
      <c r="R210" s="54"/>
      <c r="S210" s="60" t="str">
        <f t="shared" si="1"/>
        <v/>
      </c>
      <c r="T210" s="60">
        <f t="shared" si="2"/>
        <v>192</v>
      </c>
      <c r="U210" s="60" t="str">
        <f t="shared" si="3"/>
        <v/>
      </c>
      <c r="V210" s="60" t="str">
        <f t="shared" si="4"/>
        <v/>
      </c>
      <c r="W210" s="60" t="str">
        <f t="shared" si="5"/>
        <v/>
      </c>
      <c r="X210" s="60" t="str">
        <f t="shared" si="6"/>
        <v/>
      </c>
      <c r="Y210" s="60" t="str">
        <f t="shared" si="7"/>
        <v/>
      </c>
      <c r="Z210" s="60"/>
      <c r="AA210" s="60" t="str">
        <f t="shared" si="9"/>
        <v/>
      </c>
      <c r="AB210" s="60" t="str">
        <f t="shared" si="10"/>
        <v/>
      </c>
      <c r="AC210" s="60" t="str">
        <f t="shared" si="11"/>
        <v/>
      </c>
      <c r="AD210" s="60" t="str">
        <f t="shared" si="12"/>
        <v/>
      </c>
      <c r="AE210" s="60" t="str">
        <f t="shared" si="18"/>
        <v/>
      </c>
      <c r="AF210" s="60" t="str">
        <f t="shared" si="14"/>
        <v/>
      </c>
      <c r="AG210" s="60" t="str">
        <f t="shared" si="15"/>
        <v/>
      </c>
    </row>
    <row r="211" spans="1:33" x14ac:dyDescent="0.25">
      <c r="A211" s="36">
        <v>4</v>
      </c>
      <c r="B211" s="37" t="s">
        <v>288</v>
      </c>
      <c r="C211" s="38">
        <v>8183969049</v>
      </c>
      <c r="D211" s="37"/>
      <c r="E211" s="37"/>
      <c r="F211" s="40"/>
      <c r="G211" s="51">
        <v>45677</v>
      </c>
      <c r="H211" s="40"/>
      <c r="I211" s="40"/>
      <c r="J211" s="42">
        <v>30</v>
      </c>
      <c r="K211" s="43" t="s">
        <v>107</v>
      </c>
      <c r="L211" s="43" t="s">
        <v>289</v>
      </c>
      <c r="M211" s="62">
        <v>42</v>
      </c>
      <c r="N211" s="45">
        <v>1</v>
      </c>
      <c r="O211" s="45">
        <v>1260</v>
      </c>
      <c r="P211" s="45">
        <f t="shared" si="0"/>
        <v>1260</v>
      </c>
      <c r="Q211" s="46"/>
      <c r="R211" s="46"/>
      <c r="S211" s="47" t="str">
        <f t="shared" si="1"/>
        <v/>
      </c>
      <c r="T211" s="47" t="str">
        <f t="shared" si="2"/>
        <v/>
      </c>
      <c r="U211" s="47" t="str">
        <f t="shared" si="3"/>
        <v/>
      </c>
      <c r="V211" s="47">
        <f t="shared" si="4"/>
        <v>1260</v>
      </c>
      <c r="W211" s="47" t="str">
        <f t="shared" si="5"/>
        <v/>
      </c>
      <c r="X211" s="47" t="str">
        <f t="shared" si="6"/>
        <v/>
      </c>
      <c r="Y211" s="47" t="str">
        <f t="shared" si="7"/>
        <v/>
      </c>
      <c r="Z211" s="47">
        <f t="shared" ref="Z211:Z222" si="21">IF($N211=1,$P211,"")</f>
        <v>1260</v>
      </c>
      <c r="AA211" s="47" t="str">
        <f t="shared" si="9"/>
        <v/>
      </c>
      <c r="AB211" s="47" t="str">
        <f t="shared" si="10"/>
        <v/>
      </c>
      <c r="AC211" s="47" t="str">
        <f t="shared" si="11"/>
        <v/>
      </c>
      <c r="AD211" s="47" t="str">
        <f t="shared" si="12"/>
        <v/>
      </c>
      <c r="AE211" s="47" t="str">
        <f t="shared" si="18"/>
        <v/>
      </c>
      <c r="AF211" s="47" t="str">
        <f t="shared" si="14"/>
        <v/>
      </c>
      <c r="AG211" s="47" t="str">
        <f t="shared" si="15"/>
        <v/>
      </c>
    </row>
    <row r="212" spans="1:33" x14ac:dyDescent="0.25">
      <c r="A212" s="36">
        <v>4</v>
      </c>
      <c r="B212" s="37" t="s">
        <v>290</v>
      </c>
      <c r="C212" s="38">
        <v>8114765221</v>
      </c>
      <c r="D212" s="37"/>
      <c r="E212" s="37"/>
      <c r="F212" s="40"/>
      <c r="G212" s="51">
        <v>45677</v>
      </c>
      <c r="H212" s="40"/>
      <c r="I212" s="40"/>
      <c r="J212" s="42">
        <v>48</v>
      </c>
      <c r="K212" s="43" t="s">
        <v>46</v>
      </c>
      <c r="L212" s="43" t="s">
        <v>291</v>
      </c>
      <c r="M212" s="62">
        <v>500</v>
      </c>
      <c r="N212" s="45">
        <v>7</v>
      </c>
      <c r="O212" s="45">
        <v>24000</v>
      </c>
      <c r="P212" s="45">
        <f t="shared" si="0"/>
        <v>24000</v>
      </c>
      <c r="Q212" s="46"/>
      <c r="R212" s="46"/>
      <c r="S212" s="47" t="str">
        <f t="shared" si="1"/>
        <v/>
      </c>
      <c r="T212" s="47" t="str">
        <f t="shared" si="2"/>
        <v/>
      </c>
      <c r="U212" s="47" t="str">
        <f t="shared" si="3"/>
        <v/>
      </c>
      <c r="V212" s="47">
        <f t="shared" si="4"/>
        <v>24000</v>
      </c>
      <c r="W212" s="47" t="str">
        <f t="shared" si="5"/>
        <v/>
      </c>
      <c r="X212" s="47" t="str">
        <f t="shared" si="6"/>
        <v/>
      </c>
      <c r="Y212" s="47" t="str">
        <f t="shared" si="7"/>
        <v/>
      </c>
      <c r="Z212" s="47" t="str">
        <f t="shared" si="21"/>
        <v/>
      </c>
      <c r="AA212" s="47" t="str">
        <f t="shared" si="9"/>
        <v/>
      </c>
      <c r="AB212" s="47" t="str">
        <f t="shared" si="10"/>
        <v/>
      </c>
      <c r="AC212" s="47" t="str">
        <f t="shared" si="11"/>
        <v/>
      </c>
      <c r="AD212" s="47" t="str">
        <f t="shared" si="12"/>
        <v/>
      </c>
      <c r="AE212" s="47" t="str">
        <f t="shared" si="18"/>
        <v/>
      </c>
      <c r="AF212" s="47">
        <f t="shared" si="14"/>
        <v>24000</v>
      </c>
      <c r="AG212" s="47" t="str">
        <f t="shared" si="15"/>
        <v/>
      </c>
    </row>
    <row r="213" spans="1:33" x14ac:dyDescent="0.25">
      <c r="A213" s="36">
        <v>3</v>
      </c>
      <c r="B213" s="37" t="s">
        <v>292</v>
      </c>
      <c r="C213" s="37"/>
      <c r="D213" s="37"/>
      <c r="E213" s="37"/>
      <c r="F213" s="40"/>
      <c r="G213" s="51">
        <v>45678</v>
      </c>
      <c r="H213" s="40"/>
      <c r="I213" s="40"/>
      <c r="J213" s="42">
        <v>1</v>
      </c>
      <c r="K213" s="43" t="s">
        <v>74</v>
      </c>
      <c r="L213" s="43" t="s">
        <v>293</v>
      </c>
      <c r="M213" s="62">
        <v>121.55</v>
      </c>
      <c r="N213" s="45">
        <v>2</v>
      </c>
      <c r="O213" s="45">
        <v>121.55</v>
      </c>
      <c r="P213" s="45">
        <f t="shared" si="0"/>
        <v>121.55</v>
      </c>
      <c r="Q213" s="46"/>
      <c r="R213" s="46"/>
      <c r="S213" s="47" t="str">
        <f t="shared" si="1"/>
        <v/>
      </c>
      <c r="T213" s="47" t="str">
        <f t="shared" si="2"/>
        <v/>
      </c>
      <c r="U213" s="47">
        <f t="shared" si="3"/>
        <v>121.55</v>
      </c>
      <c r="V213" s="47" t="str">
        <f t="shared" si="4"/>
        <v/>
      </c>
      <c r="W213" s="47" t="str">
        <f t="shared" si="5"/>
        <v/>
      </c>
      <c r="X213" s="47" t="str">
        <f t="shared" si="6"/>
        <v/>
      </c>
      <c r="Y213" s="47" t="str">
        <f t="shared" si="7"/>
        <v/>
      </c>
      <c r="Z213" s="47" t="str">
        <f t="shared" si="21"/>
        <v/>
      </c>
      <c r="AA213" s="47">
        <f t="shared" si="9"/>
        <v>121.55</v>
      </c>
      <c r="AB213" s="47" t="str">
        <f t="shared" si="10"/>
        <v/>
      </c>
      <c r="AC213" s="47" t="str">
        <f t="shared" si="11"/>
        <v/>
      </c>
      <c r="AD213" s="47" t="str">
        <f t="shared" si="12"/>
        <v/>
      </c>
      <c r="AE213" s="47" t="str">
        <f t="shared" si="18"/>
        <v/>
      </c>
      <c r="AF213" s="47" t="str">
        <f t="shared" si="14"/>
        <v/>
      </c>
      <c r="AG213" s="47" t="str">
        <f t="shared" si="15"/>
        <v/>
      </c>
    </row>
    <row r="214" spans="1:33" x14ac:dyDescent="0.25">
      <c r="A214" s="36">
        <v>3</v>
      </c>
      <c r="B214" s="37" t="s">
        <v>292</v>
      </c>
      <c r="C214" s="37"/>
      <c r="D214" s="37"/>
      <c r="E214" s="37"/>
      <c r="F214" s="40"/>
      <c r="G214" s="49"/>
      <c r="H214" s="40"/>
      <c r="I214" s="40"/>
      <c r="J214" s="42">
        <v>1</v>
      </c>
      <c r="K214" s="43" t="s">
        <v>74</v>
      </c>
      <c r="L214" s="43" t="s">
        <v>294</v>
      </c>
      <c r="M214" s="62">
        <v>77.56</v>
      </c>
      <c r="N214" s="45">
        <v>2</v>
      </c>
      <c r="O214" s="45">
        <v>77.56</v>
      </c>
      <c r="P214" s="45">
        <f t="shared" si="0"/>
        <v>77.56</v>
      </c>
      <c r="Q214" s="46"/>
      <c r="R214" s="46"/>
      <c r="S214" s="47" t="str">
        <f t="shared" si="1"/>
        <v/>
      </c>
      <c r="T214" s="47" t="str">
        <f t="shared" si="2"/>
        <v/>
      </c>
      <c r="U214" s="47">
        <f t="shared" si="3"/>
        <v>77.56</v>
      </c>
      <c r="V214" s="47" t="str">
        <f t="shared" si="4"/>
        <v/>
      </c>
      <c r="W214" s="47" t="str">
        <f t="shared" si="5"/>
        <v/>
      </c>
      <c r="X214" s="47" t="str">
        <f t="shared" si="6"/>
        <v/>
      </c>
      <c r="Y214" s="47" t="str">
        <f t="shared" si="7"/>
        <v/>
      </c>
      <c r="Z214" s="47" t="str">
        <f t="shared" si="21"/>
        <v/>
      </c>
      <c r="AA214" s="47">
        <f t="shared" si="9"/>
        <v>77.56</v>
      </c>
      <c r="AB214" s="47" t="str">
        <f t="shared" si="10"/>
        <v/>
      </c>
      <c r="AC214" s="47" t="str">
        <f t="shared" si="11"/>
        <v/>
      </c>
      <c r="AD214" s="47" t="str">
        <f t="shared" si="12"/>
        <v/>
      </c>
      <c r="AE214" s="47" t="str">
        <f t="shared" si="18"/>
        <v/>
      </c>
      <c r="AF214" s="47" t="str">
        <f t="shared" si="14"/>
        <v/>
      </c>
      <c r="AG214" s="47" t="str">
        <f t="shared" si="15"/>
        <v/>
      </c>
    </row>
    <row r="215" spans="1:33" x14ac:dyDescent="0.25">
      <c r="A215" s="36">
        <v>3</v>
      </c>
      <c r="B215" s="37" t="s">
        <v>292</v>
      </c>
      <c r="C215" s="37"/>
      <c r="D215" s="37"/>
      <c r="E215" s="37"/>
      <c r="F215" s="40"/>
      <c r="G215" s="49"/>
      <c r="H215" s="40"/>
      <c r="I215" s="40"/>
      <c r="J215" s="42">
        <v>1</v>
      </c>
      <c r="K215" s="43" t="s">
        <v>74</v>
      </c>
      <c r="L215" s="43" t="s">
        <v>295</v>
      </c>
      <c r="M215" s="62">
        <v>60.34</v>
      </c>
      <c r="N215" s="45">
        <v>2</v>
      </c>
      <c r="O215" s="45">
        <v>60.34</v>
      </c>
      <c r="P215" s="45">
        <f t="shared" si="0"/>
        <v>60.34</v>
      </c>
      <c r="Q215" s="46"/>
      <c r="R215" s="46"/>
      <c r="S215" s="47" t="str">
        <f t="shared" si="1"/>
        <v/>
      </c>
      <c r="T215" s="47" t="str">
        <f t="shared" si="2"/>
        <v/>
      </c>
      <c r="U215" s="47">
        <f t="shared" si="3"/>
        <v>60.34</v>
      </c>
      <c r="V215" s="47" t="str">
        <f t="shared" si="4"/>
        <v/>
      </c>
      <c r="W215" s="47" t="str">
        <f t="shared" si="5"/>
        <v/>
      </c>
      <c r="X215" s="47" t="str">
        <f t="shared" si="6"/>
        <v/>
      </c>
      <c r="Y215" s="47" t="str">
        <f t="shared" si="7"/>
        <v/>
      </c>
      <c r="Z215" s="47" t="str">
        <f t="shared" si="21"/>
        <v/>
      </c>
      <c r="AA215" s="47">
        <f t="shared" si="9"/>
        <v>60.34</v>
      </c>
      <c r="AB215" s="47" t="str">
        <f t="shared" si="10"/>
        <v/>
      </c>
      <c r="AC215" s="47" t="str">
        <f t="shared" si="11"/>
        <v/>
      </c>
      <c r="AD215" s="47" t="str">
        <f t="shared" si="12"/>
        <v/>
      </c>
      <c r="AE215" s="47" t="str">
        <f t="shared" si="18"/>
        <v/>
      </c>
      <c r="AF215" s="47" t="str">
        <f t="shared" si="14"/>
        <v/>
      </c>
      <c r="AG215" s="47" t="str">
        <f t="shared" si="15"/>
        <v/>
      </c>
    </row>
    <row r="216" spans="1:33" x14ac:dyDescent="0.25">
      <c r="A216" s="36">
        <v>4</v>
      </c>
      <c r="B216" s="37" t="s">
        <v>296</v>
      </c>
      <c r="C216" s="38">
        <v>9563918230</v>
      </c>
      <c r="D216" s="37"/>
      <c r="E216" s="37"/>
      <c r="F216" s="40"/>
      <c r="G216" s="51">
        <v>45678</v>
      </c>
      <c r="H216" s="40"/>
      <c r="I216" s="40"/>
      <c r="J216" s="42">
        <v>5</v>
      </c>
      <c r="K216" s="43" t="s">
        <v>214</v>
      </c>
      <c r="L216" s="43" t="s">
        <v>297</v>
      </c>
      <c r="M216" s="62">
        <v>29.5</v>
      </c>
      <c r="N216" s="45">
        <v>1</v>
      </c>
      <c r="O216" s="45">
        <v>147.5</v>
      </c>
      <c r="P216" s="45">
        <f t="shared" si="0"/>
        <v>147.5</v>
      </c>
      <c r="Q216" s="46"/>
      <c r="R216" s="46"/>
      <c r="S216" s="47" t="str">
        <f t="shared" si="1"/>
        <v/>
      </c>
      <c r="T216" s="47" t="str">
        <f t="shared" si="2"/>
        <v/>
      </c>
      <c r="U216" s="47" t="str">
        <f t="shared" si="3"/>
        <v/>
      </c>
      <c r="V216" s="47">
        <f t="shared" si="4"/>
        <v>147.5</v>
      </c>
      <c r="W216" s="47" t="str">
        <f t="shared" si="5"/>
        <v/>
      </c>
      <c r="X216" s="47" t="str">
        <f t="shared" si="6"/>
        <v/>
      </c>
      <c r="Y216" s="47" t="str">
        <f t="shared" si="7"/>
        <v/>
      </c>
      <c r="Z216" s="47">
        <f t="shared" si="21"/>
        <v>147.5</v>
      </c>
      <c r="AA216" s="47" t="str">
        <f t="shared" si="9"/>
        <v/>
      </c>
      <c r="AB216" s="47" t="str">
        <f t="shared" si="10"/>
        <v/>
      </c>
      <c r="AC216" s="47" t="str">
        <f t="shared" si="11"/>
        <v/>
      </c>
      <c r="AD216" s="47" t="str">
        <f t="shared" si="12"/>
        <v/>
      </c>
      <c r="AE216" s="47" t="str">
        <f t="shared" si="18"/>
        <v/>
      </c>
      <c r="AF216" s="47" t="str">
        <f t="shared" si="14"/>
        <v/>
      </c>
      <c r="AG216" s="47" t="str">
        <f t="shared" si="15"/>
        <v/>
      </c>
    </row>
    <row r="217" spans="1:33" x14ac:dyDescent="0.25">
      <c r="A217" s="36">
        <v>4</v>
      </c>
      <c r="B217" s="37" t="s">
        <v>296</v>
      </c>
      <c r="C217" s="37"/>
      <c r="D217" s="37"/>
      <c r="E217" s="37"/>
      <c r="F217" s="40"/>
      <c r="G217" s="49"/>
      <c r="H217" s="40"/>
      <c r="I217" s="40"/>
      <c r="J217" s="42">
        <v>2</v>
      </c>
      <c r="K217" s="43" t="s">
        <v>107</v>
      </c>
      <c r="L217" s="43" t="s">
        <v>298</v>
      </c>
      <c r="M217" s="62">
        <v>41.9</v>
      </c>
      <c r="N217" s="45">
        <v>1</v>
      </c>
      <c r="O217" s="45">
        <v>83.8</v>
      </c>
      <c r="P217" s="45">
        <f t="shared" si="0"/>
        <v>83.8</v>
      </c>
      <c r="Q217" s="46"/>
      <c r="R217" s="46"/>
      <c r="S217" s="47" t="str">
        <f t="shared" si="1"/>
        <v/>
      </c>
      <c r="T217" s="47" t="str">
        <f t="shared" si="2"/>
        <v/>
      </c>
      <c r="U217" s="47" t="str">
        <f t="shared" si="3"/>
        <v/>
      </c>
      <c r="V217" s="47">
        <f t="shared" si="4"/>
        <v>83.8</v>
      </c>
      <c r="W217" s="47" t="str">
        <f t="shared" si="5"/>
        <v/>
      </c>
      <c r="X217" s="47" t="str">
        <f t="shared" si="6"/>
        <v/>
      </c>
      <c r="Y217" s="47" t="str">
        <f t="shared" si="7"/>
        <v/>
      </c>
      <c r="Z217" s="47">
        <f t="shared" si="21"/>
        <v>83.8</v>
      </c>
      <c r="AA217" s="47" t="str">
        <f t="shared" si="9"/>
        <v/>
      </c>
      <c r="AB217" s="47" t="str">
        <f t="shared" si="10"/>
        <v/>
      </c>
      <c r="AC217" s="47" t="str">
        <f t="shared" si="11"/>
        <v/>
      </c>
      <c r="AD217" s="47" t="str">
        <f t="shared" si="12"/>
        <v/>
      </c>
      <c r="AE217" s="47" t="str">
        <f t="shared" si="18"/>
        <v/>
      </c>
      <c r="AF217" s="47" t="str">
        <f t="shared" si="14"/>
        <v/>
      </c>
      <c r="AG217" s="47" t="str">
        <f t="shared" si="15"/>
        <v/>
      </c>
    </row>
    <row r="218" spans="1:33" x14ac:dyDescent="0.25">
      <c r="A218" s="36">
        <v>4</v>
      </c>
      <c r="B218" s="37" t="s">
        <v>296</v>
      </c>
      <c r="C218" s="37"/>
      <c r="D218" s="37"/>
      <c r="E218" s="37"/>
      <c r="F218" s="40"/>
      <c r="G218" s="49"/>
      <c r="H218" s="40"/>
      <c r="I218" s="40"/>
      <c r="J218" s="42">
        <v>3</v>
      </c>
      <c r="K218" s="43" t="s">
        <v>214</v>
      </c>
      <c r="L218" s="43" t="s">
        <v>299</v>
      </c>
      <c r="M218" s="62">
        <v>91.9</v>
      </c>
      <c r="N218" s="45">
        <v>1</v>
      </c>
      <c r="O218" s="45">
        <v>275.70000000000005</v>
      </c>
      <c r="P218" s="45">
        <f t="shared" si="0"/>
        <v>275.70000000000005</v>
      </c>
      <c r="Q218" s="46"/>
      <c r="R218" s="46"/>
      <c r="S218" s="47" t="str">
        <f t="shared" si="1"/>
        <v/>
      </c>
      <c r="T218" s="47" t="str">
        <f t="shared" si="2"/>
        <v/>
      </c>
      <c r="U218" s="47" t="str">
        <f t="shared" si="3"/>
        <v/>
      </c>
      <c r="V218" s="47">
        <f t="shared" si="4"/>
        <v>275.70000000000005</v>
      </c>
      <c r="W218" s="47" t="str">
        <f t="shared" si="5"/>
        <v/>
      </c>
      <c r="X218" s="47" t="str">
        <f t="shared" si="6"/>
        <v/>
      </c>
      <c r="Y218" s="47" t="str">
        <f t="shared" si="7"/>
        <v/>
      </c>
      <c r="Z218" s="47">
        <f t="shared" si="21"/>
        <v>275.70000000000005</v>
      </c>
      <c r="AA218" s="47" t="str">
        <f t="shared" si="9"/>
        <v/>
      </c>
      <c r="AB218" s="47" t="str">
        <f t="shared" si="10"/>
        <v/>
      </c>
      <c r="AC218" s="47" t="str">
        <f t="shared" si="11"/>
        <v/>
      </c>
      <c r="AD218" s="47" t="str">
        <f t="shared" si="12"/>
        <v/>
      </c>
      <c r="AE218" s="47" t="str">
        <f t="shared" si="18"/>
        <v/>
      </c>
      <c r="AF218" s="47" t="str">
        <f t="shared" si="14"/>
        <v/>
      </c>
      <c r="AG218" s="47" t="str">
        <f t="shared" si="15"/>
        <v/>
      </c>
    </row>
    <row r="219" spans="1:33" x14ac:dyDescent="0.25">
      <c r="A219" s="36">
        <v>3</v>
      </c>
      <c r="B219" s="37" t="s">
        <v>51</v>
      </c>
      <c r="C219" s="38">
        <v>8126227140</v>
      </c>
      <c r="D219" s="37"/>
      <c r="E219" s="37"/>
      <c r="F219" s="40"/>
      <c r="G219" s="51">
        <v>45678</v>
      </c>
      <c r="H219" s="40"/>
      <c r="I219" s="40"/>
      <c r="J219" s="42">
        <v>1</v>
      </c>
      <c r="K219" s="43" t="s">
        <v>197</v>
      </c>
      <c r="L219" s="43" t="s">
        <v>55</v>
      </c>
      <c r="M219" s="62">
        <v>200</v>
      </c>
      <c r="N219" s="45">
        <v>1</v>
      </c>
      <c r="O219" s="45">
        <v>200</v>
      </c>
      <c r="P219" s="45">
        <f t="shared" si="0"/>
        <v>200</v>
      </c>
      <c r="Q219" s="46"/>
      <c r="R219" s="46"/>
      <c r="S219" s="47" t="str">
        <f t="shared" si="1"/>
        <v/>
      </c>
      <c r="T219" s="47" t="str">
        <f t="shared" si="2"/>
        <v/>
      </c>
      <c r="U219" s="47">
        <f t="shared" si="3"/>
        <v>200</v>
      </c>
      <c r="V219" s="47" t="str">
        <f t="shared" si="4"/>
        <v/>
      </c>
      <c r="W219" s="47" t="str">
        <f t="shared" si="5"/>
        <v/>
      </c>
      <c r="X219" s="47" t="str">
        <f t="shared" si="6"/>
        <v/>
      </c>
      <c r="Y219" s="47" t="str">
        <f t="shared" si="7"/>
        <v/>
      </c>
      <c r="Z219" s="47">
        <f t="shared" si="21"/>
        <v>200</v>
      </c>
      <c r="AA219" s="47" t="str">
        <f t="shared" si="9"/>
        <v/>
      </c>
      <c r="AB219" s="47" t="str">
        <f t="shared" si="10"/>
        <v/>
      </c>
      <c r="AC219" s="47" t="str">
        <f t="shared" si="11"/>
        <v/>
      </c>
      <c r="AD219" s="47" t="str">
        <f t="shared" si="12"/>
        <v/>
      </c>
      <c r="AE219" s="47" t="str">
        <f t="shared" si="18"/>
        <v/>
      </c>
      <c r="AF219" s="47" t="str">
        <f t="shared" si="14"/>
        <v/>
      </c>
      <c r="AG219" s="47" t="str">
        <f t="shared" si="15"/>
        <v/>
      </c>
    </row>
    <row r="220" spans="1:33" x14ac:dyDescent="0.25">
      <c r="A220" s="36">
        <v>3</v>
      </c>
      <c r="B220" s="37" t="s">
        <v>51</v>
      </c>
      <c r="C220" s="37"/>
      <c r="D220" s="37"/>
      <c r="E220" s="37"/>
      <c r="F220" s="40"/>
      <c r="G220" s="49"/>
      <c r="H220" s="40"/>
      <c r="I220" s="40"/>
      <c r="J220" s="42">
        <v>1</v>
      </c>
      <c r="K220" s="43" t="s">
        <v>52</v>
      </c>
      <c r="L220" s="43" t="s">
        <v>53</v>
      </c>
      <c r="M220" s="62">
        <v>150</v>
      </c>
      <c r="N220" s="45">
        <v>1</v>
      </c>
      <c r="O220" s="45">
        <v>150</v>
      </c>
      <c r="P220" s="45">
        <f t="shared" si="0"/>
        <v>150</v>
      </c>
      <c r="Q220" s="46"/>
      <c r="R220" s="46"/>
      <c r="S220" s="47" t="str">
        <f t="shared" si="1"/>
        <v/>
      </c>
      <c r="T220" s="47" t="str">
        <f t="shared" si="2"/>
        <v/>
      </c>
      <c r="U220" s="47">
        <f t="shared" si="3"/>
        <v>150</v>
      </c>
      <c r="V220" s="47" t="str">
        <f t="shared" si="4"/>
        <v/>
      </c>
      <c r="W220" s="47" t="str">
        <f t="shared" si="5"/>
        <v/>
      </c>
      <c r="X220" s="47" t="str">
        <f t="shared" si="6"/>
        <v/>
      </c>
      <c r="Y220" s="47" t="str">
        <f t="shared" si="7"/>
        <v/>
      </c>
      <c r="Z220" s="47">
        <f t="shared" si="21"/>
        <v>150</v>
      </c>
      <c r="AA220" s="47" t="str">
        <f t="shared" si="9"/>
        <v/>
      </c>
      <c r="AB220" s="47" t="str">
        <f t="shared" si="10"/>
        <v/>
      </c>
      <c r="AC220" s="47" t="str">
        <f t="shared" si="11"/>
        <v/>
      </c>
      <c r="AD220" s="47" t="str">
        <f t="shared" si="12"/>
        <v/>
      </c>
      <c r="AE220" s="47" t="str">
        <f t="shared" si="18"/>
        <v/>
      </c>
      <c r="AF220" s="47" t="str">
        <f t="shared" si="14"/>
        <v/>
      </c>
      <c r="AG220" s="47" t="str">
        <f t="shared" si="15"/>
        <v/>
      </c>
    </row>
    <row r="221" spans="1:33" x14ac:dyDescent="0.25">
      <c r="A221" s="36">
        <v>3</v>
      </c>
      <c r="B221" s="37" t="s">
        <v>300</v>
      </c>
      <c r="C221" s="38">
        <v>8122852815</v>
      </c>
      <c r="D221" s="37"/>
      <c r="E221" s="37"/>
      <c r="F221" s="40"/>
      <c r="G221" s="51">
        <v>45679</v>
      </c>
      <c r="H221" s="40"/>
      <c r="I221" s="40"/>
      <c r="J221" s="42">
        <v>43</v>
      </c>
      <c r="K221" s="43" t="s">
        <v>60</v>
      </c>
      <c r="L221" s="43" t="s">
        <v>193</v>
      </c>
      <c r="M221" s="62">
        <v>20</v>
      </c>
      <c r="N221" s="45">
        <v>1</v>
      </c>
      <c r="O221" s="45">
        <v>860</v>
      </c>
      <c r="P221" s="45">
        <f t="shared" si="0"/>
        <v>860</v>
      </c>
      <c r="Q221" s="46"/>
      <c r="R221" s="46"/>
      <c r="S221" s="47" t="str">
        <f t="shared" si="1"/>
        <v/>
      </c>
      <c r="T221" s="47" t="str">
        <f t="shared" si="2"/>
        <v/>
      </c>
      <c r="U221" s="47">
        <f t="shared" si="3"/>
        <v>860</v>
      </c>
      <c r="V221" s="47" t="str">
        <f t="shared" si="4"/>
        <v/>
      </c>
      <c r="W221" s="47" t="str">
        <f t="shared" si="5"/>
        <v/>
      </c>
      <c r="X221" s="47" t="str">
        <f t="shared" si="6"/>
        <v/>
      </c>
      <c r="Y221" s="47" t="str">
        <f t="shared" si="7"/>
        <v/>
      </c>
      <c r="Z221" s="47">
        <f t="shared" si="21"/>
        <v>860</v>
      </c>
      <c r="AA221" s="47" t="str">
        <f t="shared" si="9"/>
        <v/>
      </c>
      <c r="AB221" s="47" t="str">
        <f t="shared" si="10"/>
        <v/>
      </c>
      <c r="AC221" s="47" t="str">
        <f t="shared" si="11"/>
        <v/>
      </c>
      <c r="AD221" s="47" t="str">
        <f t="shared" si="12"/>
        <v/>
      </c>
      <c r="AE221" s="47" t="str">
        <f t="shared" si="18"/>
        <v/>
      </c>
      <c r="AF221" s="47" t="str">
        <f t="shared" si="14"/>
        <v/>
      </c>
      <c r="AG221" s="47" t="str">
        <f t="shared" si="15"/>
        <v/>
      </c>
    </row>
    <row r="222" spans="1:33" x14ac:dyDescent="0.25">
      <c r="A222" s="36">
        <v>3</v>
      </c>
      <c r="B222" s="37" t="s">
        <v>301</v>
      </c>
      <c r="C222" s="38">
        <v>8111190301</v>
      </c>
      <c r="D222" s="37"/>
      <c r="E222" s="37"/>
      <c r="F222" s="40"/>
      <c r="G222" s="51">
        <v>45679</v>
      </c>
      <c r="H222" s="40"/>
      <c r="I222" s="40"/>
      <c r="J222" s="42">
        <v>21</v>
      </c>
      <c r="K222" s="43" t="s">
        <v>60</v>
      </c>
      <c r="L222" s="43" t="s">
        <v>302</v>
      </c>
      <c r="M222" s="62">
        <v>40</v>
      </c>
      <c r="N222" s="45">
        <v>1</v>
      </c>
      <c r="O222" s="45">
        <v>840</v>
      </c>
      <c r="P222" s="45">
        <f t="shared" si="0"/>
        <v>840</v>
      </c>
      <c r="Q222" s="46"/>
      <c r="R222" s="46"/>
      <c r="S222" s="47" t="str">
        <f t="shared" si="1"/>
        <v/>
      </c>
      <c r="T222" s="47" t="str">
        <f t="shared" si="2"/>
        <v/>
      </c>
      <c r="U222" s="47">
        <f t="shared" si="3"/>
        <v>840</v>
      </c>
      <c r="V222" s="47" t="str">
        <f t="shared" si="4"/>
        <v/>
      </c>
      <c r="W222" s="47" t="str">
        <f t="shared" si="5"/>
        <v/>
      </c>
      <c r="X222" s="47" t="str">
        <f t="shared" si="6"/>
        <v/>
      </c>
      <c r="Y222" s="47" t="str">
        <f t="shared" si="7"/>
        <v/>
      </c>
      <c r="Z222" s="47">
        <f t="shared" si="21"/>
        <v>840</v>
      </c>
      <c r="AA222" s="47" t="str">
        <f t="shared" si="9"/>
        <v/>
      </c>
      <c r="AB222" s="47" t="str">
        <f t="shared" si="10"/>
        <v/>
      </c>
      <c r="AC222" s="47" t="str">
        <f t="shared" si="11"/>
        <v/>
      </c>
      <c r="AD222" s="47" t="str">
        <f t="shared" si="12"/>
        <v/>
      </c>
      <c r="AE222" s="47" t="str">
        <f t="shared" si="18"/>
        <v/>
      </c>
      <c r="AF222" s="47" t="str">
        <f t="shared" si="14"/>
        <v/>
      </c>
      <c r="AG222" s="47" t="str">
        <f t="shared" si="15"/>
        <v/>
      </c>
    </row>
    <row r="223" spans="1:33" x14ac:dyDescent="0.25">
      <c r="A223" s="36">
        <v>2</v>
      </c>
      <c r="B223" s="54" t="s">
        <v>92</v>
      </c>
      <c r="C223" s="55">
        <v>8181850101</v>
      </c>
      <c r="D223" s="54"/>
      <c r="E223" s="54"/>
      <c r="F223" s="54"/>
      <c r="G223" s="56">
        <v>45680</v>
      </c>
      <c r="H223" s="54"/>
      <c r="I223" s="54"/>
      <c r="J223" s="57">
        <v>37</v>
      </c>
      <c r="K223" s="54" t="s">
        <v>60</v>
      </c>
      <c r="L223" s="54" t="s">
        <v>303</v>
      </c>
      <c r="M223" s="64">
        <v>39</v>
      </c>
      <c r="N223" s="59">
        <v>1</v>
      </c>
      <c r="O223" s="59">
        <v>1443</v>
      </c>
      <c r="P223" s="59">
        <f t="shared" si="0"/>
        <v>1443</v>
      </c>
      <c r="Q223" s="54"/>
      <c r="R223" s="54"/>
      <c r="S223" s="60" t="str">
        <f t="shared" si="1"/>
        <v/>
      </c>
      <c r="T223" s="60">
        <f t="shared" si="2"/>
        <v>1443</v>
      </c>
      <c r="U223" s="60" t="str">
        <f t="shared" si="3"/>
        <v/>
      </c>
      <c r="V223" s="60" t="str">
        <f t="shared" si="4"/>
        <v/>
      </c>
      <c r="W223" s="60" t="str">
        <f t="shared" si="5"/>
        <v/>
      </c>
      <c r="X223" s="60" t="str">
        <f t="shared" si="6"/>
        <v/>
      </c>
      <c r="Y223" s="60" t="str">
        <f t="shared" si="7"/>
        <v/>
      </c>
      <c r="Z223" s="60"/>
      <c r="AA223" s="60" t="str">
        <f t="shared" si="9"/>
        <v/>
      </c>
      <c r="AB223" s="60" t="str">
        <f t="shared" si="10"/>
        <v/>
      </c>
      <c r="AC223" s="60" t="str">
        <f t="shared" si="11"/>
        <v/>
      </c>
      <c r="AD223" s="60" t="str">
        <f t="shared" si="12"/>
        <v/>
      </c>
      <c r="AE223" s="60" t="str">
        <f t="shared" si="18"/>
        <v/>
      </c>
      <c r="AF223" s="60" t="str">
        <f t="shared" si="14"/>
        <v/>
      </c>
      <c r="AG223" s="47" t="str">
        <f t="shared" si="15"/>
        <v/>
      </c>
    </row>
    <row r="224" spans="1:33" x14ac:dyDescent="0.25">
      <c r="A224" s="36">
        <v>2</v>
      </c>
      <c r="B224" s="54" t="s">
        <v>92</v>
      </c>
      <c r="C224" s="54"/>
      <c r="D224" s="54"/>
      <c r="E224" s="54"/>
      <c r="F224" s="54"/>
      <c r="G224" s="61"/>
      <c r="H224" s="54"/>
      <c r="I224" s="54"/>
      <c r="J224" s="57">
        <v>6</v>
      </c>
      <c r="K224" s="54" t="s">
        <v>46</v>
      </c>
      <c r="L224" s="54" t="s">
        <v>304</v>
      </c>
      <c r="M224" s="64">
        <v>6</v>
      </c>
      <c r="N224" s="59">
        <v>1</v>
      </c>
      <c r="O224" s="59">
        <v>36</v>
      </c>
      <c r="P224" s="59">
        <f t="shared" si="0"/>
        <v>36</v>
      </c>
      <c r="Q224" s="54"/>
      <c r="R224" s="54"/>
      <c r="S224" s="60" t="str">
        <f t="shared" si="1"/>
        <v/>
      </c>
      <c r="T224" s="60">
        <f t="shared" si="2"/>
        <v>36</v>
      </c>
      <c r="U224" s="60" t="str">
        <f t="shared" si="3"/>
        <v/>
      </c>
      <c r="V224" s="60" t="str">
        <f t="shared" si="4"/>
        <v/>
      </c>
      <c r="W224" s="60" t="str">
        <f t="shared" si="5"/>
        <v/>
      </c>
      <c r="X224" s="60" t="str">
        <f t="shared" si="6"/>
        <v/>
      </c>
      <c r="Y224" s="60" t="str">
        <f t="shared" si="7"/>
        <v/>
      </c>
      <c r="Z224" s="60"/>
      <c r="AA224" s="60" t="str">
        <f t="shared" si="9"/>
        <v/>
      </c>
      <c r="AB224" s="60" t="str">
        <f t="shared" si="10"/>
        <v/>
      </c>
      <c r="AC224" s="60" t="str">
        <f t="shared" si="11"/>
        <v/>
      </c>
      <c r="AD224" s="60" t="str">
        <f t="shared" si="12"/>
        <v/>
      </c>
      <c r="AE224" s="60" t="str">
        <f t="shared" si="18"/>
        <v/>
      </c>
      <c r="AF224" s="60" t="str">
        <f t="shared" si="14"/>
        <v/>
      </c>
      <c r="AG224" s="47" t="str">
        <f t="shared" si="15"/>
        <v/>
      </c>
    </row>
    <row r="225" spans="1:33" x14ac:dyDescent="0.25">
      <c r="A225" s="36">
        <v>4</v>
      </c>
      <c r="B225" s="37" t="s">
        <v>305</v>
      </c>
      <c r="C225" s="38">
        <v>8122009684</v>
      </c>
      <c r="D225" s="37"/>
      <c r="E225" s="37"/>
      <c r="F225" s="40"/>
      <c r="G225" s="51">
        <v>45681</v>
      </c>
      <c r="H225" s="40"/>
      <c r="I225" s="40"/>
      <c r="J225" s="42">
        <v>2</v>
      </c>
      <c r="K225" s="43" t="s">
        <v>60</v>
      </c>
      <c r="L225" s="43" t="s">
        <v>306</v>
      </c>
      <c r="M225" s="62">
        <v>300</v>
      </c>
      <c r="N225" s="45">
        <v>1</v>
      </c>
      <c r="O225" s="45">
        <v>600</v>
      </c>
      <c r="P225" s="45">
        <f t="shared" si="0"/>
        <v>600</v>
      </c>
      <c r="Q225" s="46"/>
      <c r="R225" s="46"/>
      <c r="S225" s="47" t="str">
        <f t="shared" si="1"/>
        <v/>
      </c>
      <c r="T225" s="47" t="str">
        <f t="shared" si="2"/>
        <v/>
      </c>
      <c r="U225" s="47" t="str">
        <f t="shared" si="3"/>
        <v/>
      </c>
      <c r="V225" s="47">
        <f t="shared" si="4"/>
        <v>600</v>
      </c>
      <c r="W225" s="47" t="str">
        <f t="shared" si="5"/>
        <v/>
      </c>
      <c r="X225" s="47" t="str">
        <f t="shared" si="6"/>
        <v/>
      </c>
      <c r="Y225" s="47" t="str">
        <f t="shared" si="7"/>
        <v/>
      </c>
      <c r="Z225" s="47">
        <f t="shared" ref="Z225:Z276" si="22">IF($N225=1,$P225,"")</f>
        <v>600</v>
      </c>
      <c r="AA225" s="47" t="str">
        <f t="shared" si="9"/>
        <v/>
      </c>
      <c r="AB225" s="47" t="str">
        <f t="shared" si="10"/>
        <v/>
      </c>
      <c r="AC225" s="47" t="str">
        <f t="shared" si="11"/>
        <v/>
      </c>
      <c r="AD225" s="47" t="str">
        <f t="shared" si="12"/>
        <v/>
      </c>
      <c r="AE225" s="47" t="str">
        <f t="shared" si="18"/>
        <v/>
      </c>
      <c r="AF225" s="47" t="str">
        <f t="shared" si="14"/>
        <v/>
      </c>
      <c r="AG225" s="47" t="str">
        <f t="shared" si="15"/>
        <v/>
      </c>
    </row>
    <row r="226" spans="1:33" x14ac:dyDescent="0.25">
      <c r="A226" s="36">
        <v>4</v>
      </c>
      <c r="B226" s="37" t="s">
        <v>305</v>
      </c>
      <c r="C226" s="37"/>
      <c r="D226" s="37"/>
      <c r="E226" s="37"/>
      <c r="F226" s="40"/>
      <c r="G226" s="49"/>
      <c r="H226" s="40"/>
      <c r="I226" s="40"/>
      <c r="J226" s="42">
        <v>2</v>
      </c>
      <c r="K226" s="43" t="s">
        <v>60</v>
      </c>
      <c r="L226" s="43" t="s">
        <v>307</v>
      </c>
      <c r="M226" s="62">
        <v>145</v>
      </c>
      <c r="N226" s="45">
        <v>1</v>
      </c>
      <c r="O226" s="45">
        <v>290</v>
      </c>
      <c r="P226" s="45">
        <f t="shared" si="0"/>
        <v>290</v>
      </c>
      <c r="Q226" s="46"/>
      <c r="R226" s="46"/>
      <c r="S226" s="47" t="str">
        <f t="shared" si="1"/>
        <v/>
      </c>
      <c r="T226" s="47" t="str">
        <f t="shared" si="2"/>
        <v/>
      </c>
      <c r="U226" s="47" t="str">
        <f t="shared" si="3"/>
        <v/>
      </c>
      <c r="V226" s="47">
        <f t="shared" si="4"/>
        <v>290</v>
      </c>
      <c r="W226" s="47" t="str">
        <f t="shared" si="5"/>
        <v/>
      </c>
      <c r="X226" s="47" t="str">
        <f t="shared" si="6"/>
        <v/>
      </c>
      <c r="Y226" s="47" t="str">
        <f t="shared" si="7"/>
        <v/>
      </c>
      <c r="Z226" s="47">
        <f t="shared" si="22"/>
        <v>290</v>
      </c>
      <c r="AA226" s="47" t="str">
        <f t="shared" si="9"/>
        <v/>
      </c>
      <c r="AB226" s="47" t="str">
        <f t="shared" si="10"/>
        <v/>
      </c>
      <c r="AC226" s="47" t="str">
        <f t="shared" si="11"/>
        <v/>
      </c>
      <c r="AD226" s="47" t="str">
        <f t="shared" si="12"/>
        <v/>
      </c>
      <c r="AE226" s="47" t="str">
        <f t="shared" si="18"/>
        <v/>
      </c>
      <c r="AF226" s="47" t="str">
        <f t="shared" si="14"/>
        <v/>
      </c>
      <c r="AG226" s="47" t="str">
        <f t="shared" si="15"/>
        <v/>
      </c>
    </row>
    <row r="227" spans="1:33" x14ac:dyDescent="0.25">
      <c r="A227" s="36">
        <v>4</v>
      </c>
      <c r="B227" s="37" t="s">
        <v>305</v>
      </c>
      <c r="C227" s="37"/>
      <c r="D227" s="37"/>
      <c r="E227" s="37"/>
      <c r="F227" s="40"/>
      <c r="G227" s="49"/>
      <c r="H227" s="40"/>
      <c r="I227" s="40"/>
      <c r="J227" s="42">
        <v>1</v>
      </c>
      <c r="K227" s="43" t="s">
        <v>60</v>
      </c>
      <c r="L227" s="43" t="s">
        <v>308</v>
      </c>
      <c r="M227" s="62">
        <v>760</v>
      </c>
      <c r="N227" s="45">
        <v>1</v>
      </c>
      <c r="O227" s="45">
        <v>760</v>
      </c>
      <c r="P227" s="45">
        <f t="shared" si="0"/>
        <v>760</v>
      </c>
      <c r="Q227" s="46"/>
      <c r="R227" s="46"/>
      <c r="S227" s="47" t="str">
        <f t="shared" si="1"/>
        <v/>
      </c>
      <c r="T227" s="47" t="str">
        <f t="shared" si="2"/>
        <v/>
      </c>
      <c r="U227" s="47" t="str">
        <f t="shared" si="3"/>
        <v/>
      </c>
      <c r="V227" s="47">
        <f t="shared" si="4"/>
        <v>760</v>
      </c>
      <c r="W227" s="47" t="str">
        <f t="shared" si="5"/>
        <v/>
      </c>
      <c r="X227" s="47" t="str">
        <f t="shared" si="6"/>
        <v/>
      </c>
      <c r="Y227" s="47" t="str">
        <f t="shared" si="7"/>
        <v/>
      </c>
      <c r="Z227" s="47">
        <f t="shared" si="22"/>
        <v>760</v>
      </c>
      <c r="AA227" s="47" t="str">
        <f t="shared" si="9"/>
        <v/>
      </c>
      <c r="AB227" s="47" t="str">
        <f t="shared" si="10"/>
        <v/>
      </c>
      <c r="AC227" s="47" t="str">
        <f t="shared" si="11"/>
        <v/>
      </c>
      <c r="AD227" s="47" t="str">
        <f t="shared" si="12"/>
        <v/>
      </c>
      <c r="AE227" s="47" t="str">
        <f t="shared" si="18"/>
        <v/>
      </c>
      <c r="AF227" s="47" t="str">
        <f t="shared" si="14"/>
        <v/>
      </c>
      <c r="AG227" s="47" t="str">
        <f t="shared" si="15"/>
        <v/>
      </c>
    </row>
    <row r="228" spans="1:33" x14ac:dyDescent="0.25">
      <c r="A228" s="36">
        <v>4</v>
      </c>
      <c r="B228" s="37" t="s">
        <v>305</v>
      </c>
      <c r="C228" s="38">
        <v>8122009684</v>
      </c>
      <c r="D228" s="37"/>
      <c r="E228" s="37"/>
      <c r="F228" s="40"/>
      <c r="G228" s="51">
        <v>45681</v>
      </c>
      <c r="H228" s="40"/>
      <c r="I228" s="40"/>
      <c r="J228" s="42">
        <v>12</v>
      </c>
      <c r="K228" s="43" t="s">
        <v>60</v>
      </c>
      <c r="L228" s="43" t="s">
        <v>309</v>
      </c>
      <c r="M228" s="62">
        <v>150</v>
      </c>
      <c r="N228" s="45">
        <v>1</v>
      </c>
      <c r="O228" s="45">
        <v>1800</v>
      </c>
      <c r="P228" s="45">
        <f t="shared" si="0"/>
        <v>1800</v>
      </c>
      <c r="Q228" s="46"/>
      <c r="R228" s="46"/>
      <c r="S228" s="47" t="str">
        <f t="shared" si="1"/>
        <v/>
      </c>
      <c r="T228" s="47" t="str">
        <f t="shared" si="2"/>
        <v/>
      </c>
      <c r="U228" s="47" t="str">
        <f t="shared" si="3"/>
        <v/>
      </c>
      <c r="V228" s="47">
        <f t="shared" si="4"/>
        <v>1800</v>
      </c>
      <c r="W228" s="47" t="str">
        <f t="shared" si="5"/>
        <v/>
      </c>
      <c r="X228" s="47" t="str">
        <f t="shared" si="6"/>
        <v/>
      </c>
      <c r="Y228" s="47" t="str">
        <f t="shared" si="7"/>
        <v/>
      </c>
      <c r="Z228" s="47">
        <f t="shared" si="22"/>
        <v>1800</v>
      </c>
      <c r="AA228" s="47" t="str">
        <f t="shared" si="9"/>
        <v/>
      </c>
      <c r="AB228" s="47" t="str">
        <f t="shared" si="10"/>
        <v/>
      </c>
      <c r="AC228" s="47" t="str">
        <f t="shared" si="11"/>
        <v/>
      </c>
      <c r="AD228" s="47" t="str">
        <f t="shared" si="12"/>
        <v/>
      </c>
      <c r="AE228" s="47" t="str">
        <f t="shared" si="18"/>
        <v/>
      </c>
      <c r="AF228" s="47" t="str">
        <f t="shared" si="14"/>
        <v/>
      </c>
      <c r="AG228" s="47" t="str">
        <f t="shared" si="15"/>
        <v/>
      </c>
    </row>
    <row r="229" spans="1:33" x14ac:dyDescent="0.25">
      <c r="A229" s="36">
        <v>4</v>
      </c>
      <c r="B229" s="37" t="s">
        <v>305</v>
      </c>
      <c r="C229" s="37"/>
      <c r="D229" s="37"/>
      <c r="E229" s="37"/>
      <c r="F229" s="40"/>
      <c r="G229" s="49"/>
      <c r="H229" s="40"/>
      <c r="I229" s="40"/>
      <c r="J229" s="42">
        <v>5</v>
      </c>
      <c r="K229" s="43" t="s">
        <v>82</v>
      </c>
      <c r="L229" s="43" t="s">
        <v>310</v>
      </c>
      <c r="M229" s="62">
        <v>60</v>
      </c>
      <c r="N229" s="45">
        <v>1</v>
      </c>
      <c r="O229" s="45">
        <v>300</v>
      </c>
      <c r="P229" s="45">
        <f t="shared" si="0"/>
        <v>300</v>
      </c>
      <c r="Q229" s="46"/>
      <c r="R229" s="46"/>
      <c r="S229" s="47" t="str">
        <f t="shared" si="1"/>
        <v/>
      </c>
      <c r="T229" s="47" t="str">
        <f t="shared" si="2"/>
        <v/>
      </c>
      <c r="U229" s="47" t="str">
        <f t="shared" si="3"/>
        <v/>
      </c>
      <c r="V229" s="47">
        <f t="shared" si="4"/>
        <v>300</v>
      </c>
      <c r="W229" s="47" t="str">
        <f t="shared" si="5"/>
        <v/>
      </c>
      <c r="X229" s="47" t="str">
        <f t="shared" si="6"/>
        <v/>
      </c>
      <c r="Y229" s="47" t="str">
        <f t="shared" si="7"/>
        <v/>
      </c>
      <c r="Z229" s="47">
        <f t="shared" si="22"/>
        <v>300</v>
      </c>
      <c r="AA229" s="47" t="str">
        <f t="shared" si="9"/>
        <v/>
      </c>
      <c r="AB229" s="47" t="str">
        <f t="shared" si="10"/>
        <v/>
      </c>
      <c r="AC229" s="47" t="str">
        <f t="shared" si="11"/>
        <v/>
      </c>
      <c r="AD229" s="47" t="str">
        <f t="shared" si="12"/>
        <v/>
      </c>
      <c r="AE229" s="47" t="str">
        <f t="shared" si="18"/>
        <v/>
      </c>
      <c r="AF229" s="47" t="str">
        <f t="shared" si="14"/>
        <v/>
      </c>
      <c r="AG229" s="47" t="str">
        <f t="shared" si="15"/>
        <v/>
      </c>
    </row>
    <row r="230" spans="1:33" x14ac:dyDescent="0.25">
      <c r="A230" s="36">
        <v>3</v>
      </c>
      <c r="B230" s="37" t="s">
        <v>59</v>
      </c>
      <c r="C230" s="38">
        <v>9563918230</v>
      </c>
      <c r="D230" s="37"/>
      <c r="E230" s="37"/>
      <c r="F230" s="40"/>
      <c r="G230" s="51">
        <v>45684</v>
      </c>
      <c r="H230" s="40"/>
      <c r="I230" s="40"/>
      <c r="J230" s="42">
        <v>39</v>
      </c>
      <c r="K230" s="43" t="s">
        <v>60</v>
      </c>
      <c r="L230" s="43" t="s">
        <v>311</v>
      </c>
      <c r="M230" s="62">
        <v>20</v>
      </c>
      <c r="N230" s="45">
        <v>1</v>
      </c>
      <c r="O230" s="45">
        <v>780</v>
      </c>
      <c r="P230" s="45">
        <f t="shared" si="0"/>
        <v>780</v>
      </c>
      <c r="Q230" s="46"/>
      <c r="R230" s="46"/>
      <c r="S230" s="47" t="str">
        <f t="shared" si="1"/>
        <v/>
      </c>
      <c r="T230" s="47" t="str">
        <f t="shared" si="2"/>
        <v/>
      </c>
      <c r="U230" s="47">
        <f t="shared" si="3"/>
        <v>780</v>
      </c>
      <c r="V230" s="47" t="str">
        <f t="shared" si="4"/>
        <v/>
      </c>
      <c r="W230" s="47" t="str">
        <f t="shared" si="5"/>
        <v/>
      </c>
      <c r="X230" s="47" t="str">
        <f t="shared" si="6"/>
        <v/>
      </c>
      <c r="Y230" s="47" t="str">
        <f t="shared" si="7"/>
        <v/>
      </c>
      <c r="Z230" s="47">
        <f t="shared" si="22"/>
        <v>780</v>
      </c>
      <c r="AA230" s="47" t="str">
        <f t="shared" si="9"/>
        <v/>
      </c>
      <c r="AB230" s="47" t="str">
        <f t="shared" si="10"/>
        <v/>
      </c>
      <c r="AC230" s="47" t="str">
        <f t="shared" si="11"/>
        <v/>
      </c>
      <c r="AD230" s="47" t="str">
        <f t="shared" si="12"/>
        <v/>
      </c>
      <c r="AE230" s="47" t="str">
        <f t="shared" si="18"/>
        <v/>
      </c>
      <c r="AF230" s="47" t="str">
        <f t="shared" si="14"/>
        <v/>
      </c>
      <c r="AG230" s="47" t="str">
        <f t="shared" si="15"/>
        <v/>
      </c>
    </row>
    <row r="231" spans="1:33" x14ac:dyDescent="0.25">
      <c r="A231" s="36">
        <v>3</v>
      </c>
      <c r="B231" s="37" t="s">
        <v>62</v>
      </c>
      <c r="C231" s="37"/>
      <c r="D231" s="37"/>
      <c r="E231" s="37"/>
      <c r="F231" s="40"/>
      <c r="G231" s="51">
        <v>45684</v>
      </c>
      <c r="H231" s="40"/>
      <c r="I231" s="40"/>
      <c r="J231" s="42">
        <v>1</v>
      </c>
      <c r="K231" s="43" t="s">
        <v>52</v>
      </c>
      <c r="L231" s="43" t="s">
        <v>63</v>
      </c>
      <c r="M231" s="62">
        <v>660</v>
      </c>
      <c r="N231" s="45">
        <v>1</v>
      </c>
      <c r="O231" s="45">
        <v>660</v>
      </c>
      <c r="P231" s="45">
        <f t="shared" si="0"/>
        <v>660</v>
      </c>
      <c r="Q231" s="46"/>
      <c r="R231" s="46"/>
      <c r="S231" s="47" t="str">
        <f t="shared" si="1"/>
        <v/>
      </c>
      <c r="T231" s="47" t="str">
        <f t="shared" si="2"/>
        <v/>
      </c>
      <c r="U231" s="47">
        <f t="shared" si="3"/>
        <v>660</v>
      </c>
      <c r="V231" s="47" t="str">
        <f t="shared" si="4"/>
        <v/>
      </c>
      <c r="W231" s="47" t="str">
        <f t="shared" si="5"/>
        <v/>
      </c>
      <c r="X231" s="47" t="str">
        <f t="shared" si="6"/>
        <v/>
      </c>
      <c r="Y231" s="47" t="str">
        <f t="shared" si="7"/>
        <v/>
      </c>
      <c r="Z231" s="47">
        <f t="shared" si="22"/>
        <v>660</v>
      </c>
      <c r="AA231" s="47" t="str">
        <f t="shared" si="9"/>
        <v/>
      </c>
      <c r="AB231" s="47" t="str">
        <f t="shared" si="10"/>
        <v/>
      </c>
      <c r="AC231" s="47" t="str">
        <f t="shared" si="11"/>
        <v/>
      </c>
      <c r="AD231" s="47" t="str">
        <f t="shared" si="12"/>
        <v/>
      </c>
      <c r="AE231" s="47" t="str">
        <f t="shared" si="18"/>
        <v/>
      </c>
      <c r="AF231" s="47" t="str">
        <f t="shared" si="14"/>
        <v/>
      </c>
      <c r="AG231" s="47" t="str">
        <f t="shared" si="15"/>
        <v/>
      </c>
    </row>
    <row r="232" spans="1:33" x14ac:dyDescent="0.25">
      <c r="A232" s="36">
        <v>3</v>
      </c>
      <c r="B232" s="37" t="s">
        <v>51</v>
      </c>
      <c r="C232" s="38">
        <v>8126227140</v>
      </c>
      <c r="D232" s="37"/>
      <c r="E232" s="37"/>
      <c r="F232" s="40"/>
      <c r="G232" s="51">
        <v>45685</v>
      </c>
      <c r="H232" s="40"/>
      <c r="I232" s="40"/>
      <c r="J232" s="42">
        <v>1</v>
      </c>
      <c r="K232" s="43" t="s">
        <v>54</v>
      </c>
      <c r="L232" s="43"/>
      <c r="M232" s="66"/>
      <c r="N232" s="45">
        <v>1</v>
      </c>
      <c r="O232" s="45">
        <v>0</v>
      </c>
      <c r="P232" s="45">
        <f t="shared" si="0"/>
        <v>0</v>
      </c>
      <c r="Q232" s="46"/>
      <c r="R232" s="46"/>
      <c r="S232" s="47" t="str">
        <f t="shared" si="1"/>
        <v/>
      </c>
      <c r="T232" s="47" t="str">
        <f t="shared" si="2"/>
        <v/>
      </c>
      <c r="U232" s="47">
        <f t="shared" si="3"/>
        <v>0</v>
      </c>
      <c r="V232" s="47" t="str">
        <f t="shared" si="4"/>
        <v/>
      </c>
      <c r="W232" s="47" t="str">
        <f t="shared" si="5"/>
        <v/>
      </c>
      <c r="X232" s="47" t="str">
        <f t="shared" si="6"/>
        <v/>
      </c>
      <c r="Y232" s="47" t="str">
        <f t="shared" si="7"/>
        <v/>
      </c>
      <c r="Z232" s="47">
        <f t="shared" si="22"/>
        <v>0</v>
      </c>
      <c r="AA232" s="47" t="str">
        <f t="shared" si="9"/>
        <v/>
      </c>
      <c r="AB232" s="47" t="str">
        <f t="shared" si="10"/>
        <v/>
      </c>
      <c r="AC232" s="47" t="str">
        <f t="shared" si="11"/>
        <v/>
      </c>
      <c r="AD232" s="47" t="str">
        <f t="shared" si="12"/>
        <v/>
      </c>
      <c r="AE232" s="47" t="str">
        <f t="shared" si="18"/>
        <v/>
      </c>
      <c r="AF232" s="47" t="str">
        <f t="shared" si="14"/>
        <v/>
      </c>
      <c r="AG232" s="47" t="str">
        <f t="shared" si="15"/>
        <v/>
      </c>
    </row>
    <row r="233" spans="1:33" x14ac:dyDescent="0.25">
      <c r="A233" s="36">
        <v>3</v>
      </c>
      <c r="B233" s="37" t="s">
        <v>51</v>
      </c>
      <c r="C233" s="37"/>
      <c r="D233" s="37"/>
      <c r="E233" s="37"/>
      <c r="F233" s="40"/>
      <c r="G233" s="49"/>
      <c r="H233" s="40"/>
      <c r="I233" s="40"/>
      <c r="J233" s="42">
        <v>1</v>
      </c>
      <c r="K233" s="43" t="s">
        <v>52</v>
      </c>
      <c r="L233" s="43"/>
      <c r="M233" s="66"/>
      <c r="N233" s="45">
        <v>1</v>
      </c>
      <c r="O233" s="45">
        <v>0</v>
      </c>
      <c r="P233" s="45">
        <f t="shared" si="0"/>
        <v>0</v>
      </c>
      <c r="Q233" s="46"/>
      <c r="R233" s="46"/>
      <c r="S233" s="47" t="str">
        <f t="shared" si="1"/>
        <v/>
      </c>
      <c r="T233" s="47" t="str">
        <f t="shared" si="2"/>
        <v/>
      </c>
      <c r="U233" s="47">
        <f t="shared" si="3"/>
        <v>0</v>
      </c>
      <c r="V233" s="47" t="str">
        <f t="shared" si="4"/>
        <v/>
      </c>
      <c r="W233" s="47" t="str">
        <f t="shared" si="5"/>
        <v/>
      </c>
      <c r="X233" s="47" t="str">
        <f t="shared" si="6"/>
        <v/>
      </c>
      <c r="Y233" s="47" t="str">
        <f t="shared" si="7"/>
        <v/>
      </c>
      <c r="Z233" s="47">
        <f t="shared" si="22"/>
        <v>0</v>
      </c>
      <c r="AA233" s="47" t="str">
        <f t="shared" si="9"/>
        <v/>
      </c>
      <c r="AB233" s="47" t="str">
        <f t="shared" si="10"/>
        <v/>
      </c>
      <c r="AC233" s="47" t="str">
        <f t="shared" si="11"/>
        <v/>
      </c>
      <c r="AD233" s="47" t="str">
        <f t="shared" si="12"/>
        <v/>
      </c>
      <c r="AE233" s="47" t="str">
        <f t="shared" si="18"/>
        <v/>
      </c>
      <c r="AF233" s="47" t="str">
        <f t="shared" si="14"/>
        <v/>
      </c>
      <c r="AG233" s="47" t="str">
        <f t="shared" si="15"/>
        <v/>
      </c>
    </row>
    <row r="234" spans="1:33" x14ac:dyDescent="0.25">
      <c r="A234" s="36">
        <v>4</v>
      </c>
      <c r="B234" s="37" t="s">
        <v>312</v>
      </c>
      <c r="C234" s="38">
        <v>8124248947</v>
      </c>
      <c r="D234" s="37"/>
      <c r="E234" s="37"/>
      <c r="F234" s="40"/>
      <c r="G234" s="51">
        <v>45685</v>
      </c>
      <c r="H234" s="40"/>
      <c r="I234" s="40"/>
      <c r="J234" s="42">
        <v>166</v>
      </c>
      <c r="K234" s="43" t="s">
        <v>46</v>
      </c>
      <c r="L234" s="43" t="s">
        <v>313</v>
      </c>
      <c r="M234" s="62">
        <v>3</v>
      </c>
      <c r="N234" s="45">
        <v>1</v>
      </c>
      <c r="O234" s="45">
        <v>498</v>
      </c>
      <c r="P234" s="45">
        <f t="shared" si="0"/>
        <v>498</v>
      </c>
      <c r="Q234" s="46"/>
      <c r="R234" s="46"/>
      <c r="S234" s="47" t="str">
        <f t="shared" si="1"/>
        <v/>
      </c>
      <c r="T234" s="47" t="str">
        <f t="shared" si="2"/>
        <v/>
      </c>
      <c r="U234" s="47" t="str">
        <f t="shared" si="3"/>
        <v/>
      </c>
      <c r="V234" s="47">
        <f t="shared" si="4"/>
        <v>498</v>
      </c>
      <c r="W234" s="47" t="str">
        <f t="shared" si="5"/>
        <v/>
      </c>
      <c r="X234" s="47" t="str">
        <f t="shared" si="6"/>
        <v/>
      </c>
      <c r="Y234" s="47" t="str">
        <f t="shared" si="7"/>
        <v/>
      </c>
      <c r="Z234" s="47">
        <f t="shared" si="22"/>
        <v>498</v>
      </c>
      <c r="AA234" s="47" t="str">
        <f t="shared" si="9"/>
        <v/>
      </c>
      <c r="AB234" s="47" t="str">
        <f t="shared" si="10"/>
        <v/>
      </c>
      <c r="AC234" s="47" t="str">
        <f t="shared" si="11"/>
        <v/>
      </c>
      <c r="AD234" s="47" t="str">
        <f t="shared" si="12"/>
        <v/>
      </c>
      <c r="AE234" s="47" t="str">
        <f t="shared" si="18"/>
        <v/>
      </c>
      <c r="AF234" s="47" t="str">
        <f t="shared" si="14"/>
        <v/>
      </c>
      <c r="AG234" s="47" t="str">
        <f t="shared" si="15"/>
        <v/>
      </c>
    </row>
    <row r="235" spans="1:33" x14ac:dyDescent="0.25">
      <c r="A235" s="36">
        <v>3</v>
      </c>
      <c r="B235" s="37" t="s">
        <v>314</v>
      </c>
      <c r="C235" s="38">
        <v>8115148337</v>
      </c>
      <c r="D235" s="37"/>
      <c r="E235" s="37"/>
      <c r="F235" s="40"/>
      <c r="G235" s="51">
        <v>45686</v>
      </c>
      <c r="H235" s="40"/>
      <c r="I235" s="40"/>
      <c r="J235" s="42">
        <v>6</v>
      </c>
      <c r="K235" s="43" t="s">
        <v>60</v>
      </c>
      <c r="L235" s="43" t="s">
        <v>315</v>
      </c>
      <c r="M235" s="62">
        <v>19</v>
      </c>
      <c r="N235" s="45">
        <v>1</v>
      </c>
      <c r="O235" s="45">
        <v>114</v>
      </c>
      <c r="P235" s="45">
        <f t="shared" si="0"/>
        <v>114</v>
      </c>
      <c r="Q235" s="46"/>
      <c r="R235" s="46"/>
      <c r="S235" s="47" t="str">
        <f t="shared" si="1"/>
        <v/>
      </c>
      <c r="T235" s="47" t="str">
        <f t="shared" si="2"/>
        <v/>
      </c>
      <c r="U235" s="47">
        <f t="shared" si="3"/>
        <v>114</v>
      </c>
      <c r="V235" s="47" t="str">
        <f t="shared" si="4"/>
        <v/>
      </c>
      <c r="W235" s="47" t="str">
        <f t="shared" si="5"/>
        <v/>
      </c>
      <c r="X235" s="47" t="str">
        <f t="shared" si="6"/>
        <v/>
      </c>
      <c r="Y235" s="47" t="str">
        <f t="shared" si="7"/>
        <v/>
      </c>
      <c r="Z235" s="47">
        <f t="shared" si="22"/>
        <v>114</v>
      </c>
      <c r="AA235" s="47" t="str">
        <f t="shared" si="9"/>
        <v/>
      </c>
      <c r="AB235" s="47" t="str">
        <f t="shared" si="10"/>
        <v/>
      </c>
      <c r="AC235" s="47" t="str">
        <f t="shared" si="11"/>
        <v/>
      </c>
      <c r="AD235" s="47" t="str">
        <f t="shared" si="12"/>
        <v/>
      </c>
      <c r="AE235" s="47" t="str">
        <f t="shared" si="18"/>
        <v/>
      </c>
      <c r="AF235" s="47" t="str">
        <f t="shared" si="14"/>
        <v/>
      </c>
      <c r="AG235" s="47" t="str">
        <f t="shared" si="15"/>
        <v/>
      </c>
    </row>
    <row r="236" spans="1:33" x14ac:dyDescent="0.25">
      <c r="A236" s="36">
        <v>3</v>
      </c>
      <c r="B236" s="37" t="s">
        <v>314</v>
      </c>
      <c r="C236" s="37"/>
      <c r="D236" s="37"/>
      <c r="E236" s="37"/>
      <c r="F236" s="40"/>
      <c r="G236" s="49"/>
      <c r="H236" s="40"/>
      <c r="I236" s="40"/>
      <c r="J236" s="42">
        <v>6</v>
      </c>
      <c r="K236" s="43" t="s">
        <v>82</v>
      </c>
      <c r="L236" s="43" t="s">
        <v>316</v>
      </c>
      <c r="M236" s="62">
        <v>86</v>
      </c>
      <c r="N236" s="45">
        <v>1</v>
      </c>
      <c r="O236" s="45">
        <v>516</v>
      </c>
      <c r="P236" s="45">
        <f t="shared" si="0"/>
        <v>516</v>
      </c>
      <c r="Q236" s="46"/>
      <c r="R236" s="46"/>
      <c r="S236" s="47" t="str">
        <f t="shared" si="1"/>
        <v/>
      </c>
      <c r="T236" s="47" t="str">
        <f t="shared" si="2"/>
        <v/>
      </c>
      <c r="U236" s="47">
        <f t="shared" si="3"/>
        <v>516</v>
      </c>
      <c r="V236" s="47" t="str">
        <f t="shared" si="4"/>
        <v/>
      </c>
      <c r="W236" s="47" t="str">
        <f t="shared" si="5"/>
        <v/>
      </c>
      <c r="X236" s="47" t="str">
        <f t="shared" si="6"/>
        <v/>
      </c>
      <c r="Y236" s="47" t="str">
        <f t="shared" si="7"/>
        <v/>
      </c>
      <c r="Z236" s="47">
        <f t="shared" si="22"/>
        <v>516</v>
      </c>
      <c r="AA236" s="47" t="str">
        <f t="shared" si="9"/>
        <v/>
      </c>
      <c r="AB236" s="47" t="str">
        <f t="shared" si="10"/>
        <v/>
      </c>
      <c r="AC236" s="47" t="str">
        <f t="shared" si="11"/>
        <v/>
      </c>
      <c r="AD236" s="47" t="str">
        <f t="shared" si="12"/>
        <v/>
      </c>
      <c r="AE236" s="47" t="str">
        <f t="shared" si="18"/>
        <v/>
      </c>
      <c r="AF236" s="47" t="str">
        <f t="shared" si="14"/>
        <v/>
      </c>
      <c r="AG236" s="47" t="str">
        <f t="shared" si="15"/>
        <v/>
      </c>
    </row>
    <row r="237" spans="1:33" x14ac:dyDescent="0.25">
      <c r="A237" s="36">
        <v>3</v>
      </c>
      <c r="B237" s="37" t="s">
        <v>314</v>
      </c>
      <c r="C237" s="37"/>
      <c r="D237" s="37"/>
      <c r="E237" s="37"/>
      <c r="F237" s="40"/>
      <c r="G237" s="49"/>
      <c r="H237" s="40"/>
      <c r="I237" s="40"/>
      <c r="J237" s="42">
        <v>8</v>
      </c>
      <c r="K237" s="43" t="s">
        <v>60</v>
      </c>
      <c r="L237" s="43" t="s">
        <v>317</v>
      </c>
      <c r="M237" s="62">
        <v>45</v>
      </c>
      <c r="N237" s="45">
        <v>1</v>
      </c>
      <c r="O237" s="45">
        <v>360</v>
      </c>
      <c r="P237" s="45">
        <f t="shared" si="0"/>
        <v>360</v>
      </c>
      <c r="Q237" s="46"/>
      <c r="R237" s="46"/>
      <c r="S237" s="47" t="str">
        <f t="shared" si="1"/>
        <v/>
      </c>
      <c r="T237" s="47" t="str">
        <f t="shared" si="2"/>
        <v/>
      </c>
      <c r="U237" s="47">
        <f t="shared" si="3"/>
        <v>360</v>
      </c>
      <c r="V237" s="47" t="str">
        <f t="shared" si="4"/>
        <v/>
      </c>
      <c r="W237" s="47" t="str">
        <f t="shared" si="5"/>
        <v/>
      </c>
      <c r="X237" s="47" t="str">
        <f t="shared" si="6"/>
        <v/>
      </c>
      <c r="Y237" s="47" t="str">
        <f t="shared" si="7"/>
        <v/>
      </c>
      <c r="Z237" s="47">
        <f t="shared" si="22"/>
        <v>360</v>
      </c>
      <c r="AA237" s="47" t="str">
        <f t="shared" si="9"/>
        <v/>
      </c>
      <c r="AB237" s="47" t="str">
        <f t="shared" si="10"/>
        <v/>
      </c>
      <c r="AC237" s="47" t="str">
        <f t="shared" si="11"/>
        <v/>
      </c>
      <c r="AD237" s="47" t="str">
        <f t="shared" si="12"/>
        <v/>
      </c>
      <c r="AE237" s="47" t="str">
        <f t="shared" si="18"/>
        <v/>
      </c>
      <c r="AF237" s="47" t="str">
        <f t="shared" si="14"/>
        <v/>
      </c>
      <c r="AG237" s="47" t="str">
        <f t="shared" si="15"/>
        <v/>
      </c>
    </row>
    <row r="238" spans="1:33" x14ac:dyDescent="0.25">
      <c r="A238" s="36">
        <v>3</v>
      </c>
      <c r="B238" s="37" t="s">
        <v>314</v>
      </c>
      <c r="C238" s="37"/>
      <c r="D238" s="37"/>
      <c r="E238" s="37"/>
      <c r="F238" s="40"/>
      <c r="G238" s="49"/>
      <c r="H238" s="40"/>
      <c r="I238" s="40"/>
      <c r="J238" s="42">
        <v>6</v>
      </c>
      <c r="K238" s="43" t="s">
        <v>60</v>
      </c>
      <c r="L238" s="43" t="s">
        <v>318</v>
      </c>
      <c r="M238" s="62">
        <v>81</v>
      </c>
      <c r="N238" s="45">
        <v>1</v>
      </c>
      <c r="O238" s="45">
        <v>486</v>
      </c>
      <c r="P238" s="45">
        <f t="shared" si="0"/>
        <v>486</v>
      </c>
      <c r="Q238" s="46"/>
      <c r="R238" s="46"/>
      <c r="S238" s="47" t="str">
        <f t="shared" si="1"/>
        <v/>
      </c>
      <c r="T238" s="47" t="str">
        <f t="shared" si="2"/>
        <v/>
      </c>
      <c r="U238" s="47">
        <f t="shared" si="3"/>
        <v>486</v>
      </c>
      <c r="V238" s="47" t="str">
        <f t="shared" si="4"/>
        <v/>
      </c>
      <c r="W238" s="47" t="str">
        <f t="shared" si="5"/>
        <v/>
      </c>
      <c r="X238" s="47" t="str">
        <f t="shared" si="6"/>
        <v/>
      </c>
      <c r="Y238" s="47" t="str">
        <f t="shared" si="7"/>
        <v/>
      </c>
      <c r="Z238" s="47">
        <f t="shared" si="22"/>
        <v>486</v>
      </c>
      <c r="AA238" s="47" t="str">
        <f t="shared" si="9"/>
        <v/>
      </c>
      <c r="AB238" s="47" t="str">
        <f t="shared" si="10"/>
        <v/>
      </c>
      <c r="AC238" s="47" t="str">
        <f t="shared" si="11"/>
        <v/>
      </c>
      <c r="AD238" s="47" t="str">
        <f t="shared" si="12"/>
        <v/>
      </c>
      <c r="AE238" s="47" t="str">
        <f t="shared" si="18"/>
        <v/>
      </c>
      <c r="AF238" s="47" t="str">
        <f t="shared" si="14"/>
        <v/>
      </c>
      <c r="AG238" s="47" t="str">
        <f t="shared" si="15"/>
        <v/>
      </c>
    </row>
    <row r="239" spans="1:33" x14ac:dyDescent="0.25">
      <c r="A239" s="36">
        <v>3</v>
      </c>
      <c r="B239" s="37" t="s">
        <v>314</v>
      </c>
      <c r="C239" s="37"/>
      <c r="D239" s="37"/>
      <c r="E239" s="37"/>
      <c r="F239" s="40"/>
      <c r="G239" s="49"/>
      <c r="H239" s="40"/>
      <c r="I239" s="40"/>
      <c r="J239" s="42">
        <v>8</v>
      </c>
      <c r="K239" s="43" t="s">
        <v>319</v>
      </c>
      <c r="L239" s="43" t="s">
        <v>320</v>
      </c>
      <c r="M239" s="62">
        <v>14</v>
      </c>
      <c r="N239" s="45">
        <v>1</v>
      </c>
      <c r="O239" s="45">
        <v>112</v>
      </c>
      <c r="P239" s="45">
        <f t="shared" si="0"/>
        <v>112</v>
      </c>
      <c r="Q239" s="46"/>
      <c r="R239" s="46"/>
      <c r="S239" s="47" t="str">
        <f t="shared" si="1"/>
        <v/>
      </c>
      <c r="T239" s="47" t="str">
        <f t="shared" si="2"/>
        <v/>
      </c>
      <c r="U239" s="47">
        <f t="shared" si="3"/>
        <v>112</v>
      </c>
      <c r="V239" s="47" t="str">
        <f t="shared" si="4"/>
        <v/>
      </c>
      <c r="W239" s="47" t="str">
        <f t="shared" si="5"/>
        <v/>
      </c>
      <c r="X239" s="47" t="str">
        <f t="shared" si="6"/>
        <v/>
      </c>
      <c r="Y239" s="47" t="str">
        <f t="shared" si="7"/>
        <v/>
      </c>
      <c r="Z239" s="47">
        <f t="shared" si="22"/>
        <v>112</v>
      </c>
      <c r="AA239" s="47" t="str">
        <f t="shared" si="9"/>
        <v/>
      </c>
      <c r="AB239" s="47" t="str">
        <f t="shared" si="10"/>
        <v/>
      </c>
      <c r="AC239" s="47" t="str">
        <f t="shared" si="11"/>
        <v/>
      </c>
      <c r="AD239" s="47" t="str">
        <f t="shared" si="12"/>
        <v/>
      </c>
      <c r="AE239" s="47" t="str">
        <f t="shared" si="18"/>
        <v/>
      </c>
      <c r="AF239" s="47" t="str">
        <f t="shared" si="14"/>
        <v/>
      </c>
      <c r="AG239" s="47" t="str">
        <f t="shared" si="15"/>
        <v/>
      </c>
    </row>
    <row r="240" spans="1:33" x14ac:dyDescent="0.25">
      <c r="A240" s="36">
        <v>3</v>
      </c>
      <c r="B240" s="37" t="s">
        <v>314</v>
      </c>
      <c r="C240" s="37"/>
      <c r="D240" s="37"/>
      <c r="E240" s="37"/>
      <c r="F240" s="40"/>
      <c r="G240" s="49"/>
      <c r="H240" s="40"/>
      <c r="I240" s="40"/>
      <c r="J240" s="42">
        <v>3</v>
      </c>
      <c r="K240" s="43" t="s">
        <v>60</v>
      </c>
      <c r="L240" s="43" t="s">
        <v>321</v>
      </c>
      <c r="M240" s="62">
        <v>30</v>
      </c>
      <c r="N240" s="45">
        <v>1</v>
      </c>
      <c r="O240" s="45">
        <v>90</v>
      </c>
      <c r="P240" s="45">
        <f t="shared" si="0"/>
        <v>90</v>
      </c>
      <c r="Q240" s="46"/>
      <c r="R240" s="46"/>
      <c r="S240" s="47" t="str">
        <f t="shared" si="1"/>
        <v/>
      </c>
      <c r="T240" s="47" t="str">
        <f t="shared" si="2"/>
        <v/>
      </c>
      <c r="U240" s="47">
        <f t="shared" si="3"/>
        <v>90</v>
      </c>
      <c r="V240" s="47" t="str">
        <f t="shared" si="4"/>
        <v/>
      </c>
      <c r="W240" s="47" t="str">
        <f t="shared" si="5"/>
        <v/>
      </c>
      <c r="X240" s="47" t="str">
        <f t="shared" si="6"/>
        <v/>
      </c>
      <c r="Y240" s="47" t="str">
        <f t="shared" si="7"/>
        <v/>
      </c>
      <c r="Z240" s="47">
        <f t="shared" si="22"/>
        <v>90</v>
      </c>
      <c r="AA240" s="47" t="str">
        <f t="shared" si="9"/>
        <v/>
      </c>
      <c r="AB240" s="47" t="str">
        <f t="shared" si="10"/>
        <v/>
      </c>
      <c r="AC240" s="47" t="str">
        <f t="shared" si="11"/>
        <v/>
      </c>
      <c r="AD240" s="47" t="str">
        <f t="shared" si="12"/>
        <v/>
      </c>
      <c r="AE240" s="47" t="str">
        <f t="shared" si="18"/>
        <v/>
      </c>
      <c r="AF240" s="47" t="str">
        <f t="shared" si="14"/>
        <v/>
      </c>
      <c r="AG240" s="47" t="str">
        <f t="shared" si="15"/>
        <v/>
      </c>
    </row>
    <row r="241" spans="1:33" x14ac:dyDescent="0.25">
      <c r="A241" s="36">
        <v>3</v>
      </c>
      <c r="B241" s="37" t="s">
        <v>314</v>
      </c>
      <c r="C241" s="37"/>
      <c r="D241" s="37"/>
      <c r="E241" s="37"/>
      <c r="F241" s="40"/>
      <c r="G241" s="49"/>
      <c r="H241" s="40"/>
      <c r="I241" s="40"/>
      <c r="J241" s="42">
        <v>15</v>
      </c>
      <c r="K241" s="43" t="s">
        <v>60</v>
      </c>
      <c r="L241" s="43" t="s">
        <v>322</v>
      </c>
      <c r="M241" s="62">
        <v>32</v>
      </c>
      <c r="N241" s="45">
        <v>1</v>
      </c>
      <c r="O241" s="45">
        <v>480</v>
      </c>
      <c r="P241" s="45">
        <f t="shared" si="0"/>
        <v>480</v>
      </c>
      <c r="Q241" s="46"/>
      <c r="R241" s="46"/>
      <c r="S241" s="47" t="str">
        <f t="shared" si="1"/>
        <v/>
      </c>
      <c r="T241" s="47" t="str">
        <f t="shared" si="2"/>
        <v/>
      </c>
      <c r="U241" s="47">
        <f t="shared" si="3"/>
        <v>480</v>
      </c>
      <c r="V241" s="47" t="str">
        <f t="shared" si="4"/>
        <v/>
      </c>
      <c r="W241" s="47" t="str">
        <f t="shared" si="5"/>
        <v/>
      </c>
      <c r="X241" s="47" t="str">
        <f t="shared" si="6"/>
        <v/>
      </c>
      <c r="Y241" s="47" t="str">
        <f t="shared" si="7"/>
        <v/>
      </c>
      <c r="Z241" s="47">
        <f t="shared" si="22"/>
        <v>480</v>
      </c>
      <c r="AA241" s="47" t="str">
        <f t="shared" si="9"/>
        <v/>
      </c>
      <c r="AB241" s="47" t="str">
        <f t="shared" si="10"/>
        <v/>
      </c>
      <c r="AC241" s="47" t="str">
        <f t="shared" si="11"/>
        <v/>
      </c>
      <c r="AD241" s="47" t="str">
        <f t="shared" si="12"/>
        <v/>
      </c>
      <c r="AE241" s="47" t="str">
        <f t="shared" si="18"/>
        <v/>
      </c>
      <c r="AF241" s="47" t="str">
        <f t="shared" si="14"/>
        <v/>
      </c>
      <c r="AG241" s="47" t="str">
        <f t="shared" si="15"/>
        <v/>
      </c>
    </row>
    <row r="242" spans="1:33" x14ac:dyDescent="0.25">
      <c r="A242" s="36">
        <v>3</v>
      </c>
      <c r="B242" s="37" t="s">
        <v>314</v>
      </c>
      <c r="C242" s="37"/>
      <c r="D242" s="37"/>
      <c r="E242" s="37"/>
      <c r="F242" s="40"/>
      <c r="G242" s="49"/>
      <c r="H242" s="40"/>
      <c r="I242" s="40"/>
      <c r="J242" s="42">
        <v>8</v>
      </c>
      <c r="K242" s="43" t="s">
        <v>60</v>
      </c>
      <c r="L242" s="43" t="s">
        <v>323</v>
      </c>
      <c r="M242" s="62">
        <v>25</v>
      </c>
      <c r="N242" s="45">
        <v>1</v>
      </c>
      <c r="O242" s="45">
        <v>200</v>
      </c>
      <c r="P242" s="45">
        <f t="shared" si="0"/>
        <v>200</v>
      </c>
      <c r="Q242" s="46"/>
      <c r="R242" s="46"/>
      <c r="S242" s="47" t="str">
        <f t="shared" si="1"/>
        <v/>
      </c>
      <c r="T242" s="47" t="str">
        <f t="shared" si="2"/>
        <v/>
      </c>
      <c r="U242" s="47">
        <f t="shared" si="3"/>
        <v>200</v>
      </c>
      <c r="V242" s="47" t="str">
        <f t="shared" si="4"/>
        <v/>
      </c>
      <c r="W242" s="47" t="str">
        <f t="shared" si="5"/>
        <v/>
      </c>
      <c r="X242" s="47" t="str">
        <f t="shared" si="6"/>
        <v/>
      </c>
      <c r="Y242" s="47" t="str">
        <f t="shared" si="7"/>
        <v/>
      </c>
      <c r="Z242" s="47">
        <f t="shared" si="22"/>
        <v>200</v>
      </c>
      <c r="AA242" s="47" t="str">
        <f t="shared" si="9"/>
        <v/>
      </c>
      <c r="AB242" s="47" t="str">
        <f t="shared" si="10"/>
        <v/>
      </c>
      <c r="AC242" s="47" t="str">
        <f t="shared" si="11"/>
        <v/>
      </c>
      <c r="AD242" s="47" t="str">
        <f t="shared" si="12"/>
        <v/>
      </c>
      <c r="AE242" s="47" t="str">
        <f t="shared" si="18"/>
        <v/>
      </c>
      <c r="AF242" s="47" t="str">
        <f t="shared" si="14"/>
        <v/>
      </c>
      <c r="AG242" s="47" t="str">
        <f t="shared" si="15"/>
        <v/>
      </c>
    </row>
    <row r="243" spans="1:33" x14ac:dyDescent="0.25">
      <c r="A243" s="36">
        <v>3</v>
      </c>
      <c r="B243" s="37" t="s">
        <v>314</v>
      </c>
      <c r="C243" s="37"/>
      <c r="D243" s="37"/>
      <c r="E243" s="37"/>
      <c r="F243" s="40"/>
      <c r="G243" s="49"/>
      <c r="H243" s="40"/>
      <c r="I243" s="40"/>
      <c r="J243" s="42">
        <v>3</v>
      </c>
      <c r="K243" s="43" t="s">
        <v>60</v>
      </c>
      <c r="L243" s="43" t="s">
        <v>324</v>
      </c>
      <c r="M243" s="62">
        <v>25</v>
      </c>
      <c r="N243" s="45">
        <v>1</v>
      </c>
      <c r="O243" s="45">
        <v>75</v>
      </c>
      <c r="P243" s="45">
        <f t="shared" si="0"/>
        <v>75</v>
      </c>
      <c r="Q243" s="46"/>
      <c r="R243" s="46"/>
      <c r="S243" s="47" t="str">
        <f t="shared" si="1"/>
        <v/>
      </c>
      <c r="T243" s="47" t="str">
        <f t="shared" si="2"/>
        <v/>
      </c>
      <c r="U243" s="47">
        <f t="shared" si="3"/>
        <v>75</v>
      </c>
      <c r="V243" s="47" t="str">
        <f t="shared" si="4"/>
        <v/>
      </c>
      <c r="W243" s="47" t="str">
        <f t="shared" si="5"/>
        <v/>
      </c>
      <c r="X243" s="47" t="str">
        <f t="shared" si="6"/>
        <v/>
      </c>
      <c r="Y243" s="47" t="str">
        <f t="shared" si="7"/>
        <v/>
      </c>
      <c r="Z243" s="47">
        <f t="shared" si="22"/>
        <v>75</v>
      </c>
      <c r="AA243" s="47" t="str">
        <f t="shared" si="9"/>
        <v/>
      </c>
      <c r="AB243" s="47" t="str">
        <f t="shared" si="10"/>
        <v/>
      </c>
      <c r="AC243" s="47" t="str">
        <f t="shared" si="11"/>
        <v/>
      </c>
      <c r="AD243" s="47" t="str">
        <f t="shared" si="12"/>
        <v/>
      </c>
      <c r="AE243" s="47" t="str">
        <f t="shared" si="18"/>
        <v/>
      </c>
      <c r="AF243" s="47" t="str">
        <f t="shared" si="14"/>
        <v/>
      </c>
      <c r="AG243" s="47" t="str">
        <f t="shared" si="15"/>
        <v/>
      </c>
    </row>
    <row r="244" spans="1:33" x14ac:dyDescent="0.25">
      <c r="A244" s="36">
        <v>3</v>
      </c>
      <c r="B244" s="37" t="s">
        <v>314</v>
      </c>
      <c r="C244" s="37"/>
      <c r="D244" s="37"/>
      <c r="E244" s="37"/>
      <c r="F244" s="40"/>
      <c r="G244" s="49"/>
      <c r="H244" s="40"/>
      <c r="I244" s="40"/>
      <c r="J244" s="42">
        <v>8</v>
      </c>
      <c r="K244" s="43" t="s">
        <v>319</v>
      </c>
      <c r="L244" s="43" t="s">
        <v>325</v>
      </c>
      <c r="M244" s="62">
        <v>14</v>
      </c>
      <c r="N244" s="45">
        <v>1</v>
      </c>
      <c r="O244" s="45">
        <v>112</v>
      </c>
      <c r="P244" s="45">
        <f t="shared" si="0"/>
        <v>112</v>
      </c>
      <c r="Q244" s="46"/>
      <c r="R244" s="46"/>
      <c r="S244" s="47" t="str">
        <f t="shared" si="1"/>
        <v/>
      </c>
      <c r="T244" s="47" t="str">
        <f t="shared" si="2"/>
        <v/>
      </c>
      <c r="U244" s="47">
        <f t="shared" si="3"/>
        <v>112</v>
      </c>
      <c r="V244" s="47" t="str">
        <f t="shared" si="4"/>
        <v/>
      </c>
      <c r="W244" s="47" t="str">
        <f t="shared" si="5"/>
        <v/>
      </c>
      <c r="X244" s="47" t="str">
        <f t="shared" si="6"/>
        <v/>
      </c>
      <c r="Y244" s="47" t="str">
        <f t="shared" si="7"/>
        <v/>
      </c>
      <c r="Z244" s="47">
        <f t="shared" si="22"/>
        <v>112</v>
      </c>
      <c r="AA244" s="47" t="str">
        <f t="shared" si="9"/>
        <v/>
      </c>
      <c r="AB244" s="47" t="str">
        <f t="shared" si="10"/>
        <v/>
      </c>
      <c r="AC244" s="47" t="str">
        <f t="shared" si="11"/>
        <v/>
      </c>
      <c r="AD244" s="47" t="str">
        <f t="shared" si="12"/>
        <v/>
      </c>
      <c r="AE244" s="47" t="str">
        <f t="shared" si="18"/>
        <v/>
      </c>
      <c r="AF244" s="47" t="str">
        <f t="shared" si="14"/>
        <v/>
      </c>
      <c r="AG244" s="47" t="str">
        <f t="shared" si="15"/>
        <v/>
      </c>
    </row>
    <row r="245" spans="1:33" x14ac:dyDescent="0.25">
      <c r="A245" s="36">
        <v>3</v>
      </c>
      <c r="B245" s="37" t="s">
        <v>301</v>
      </c>
      <c r="C245" s="38">
        <v>8111190301</v>
      </c>
      <c r="D245" s="37"/>
      <c r="E245" s="37"/>
      <c r="F245" s="40"/>
      <c r="G245" s="51">
        <v>45686</v>
      </c>
      <c r="H245" s="40"/>
      <c r="I245" s="40"/>
      <c r="J245" s="42">
        <v>6</v>
      </c>
      <c r="K245" s="43" t="s">
        <v>60</v>
      </c>
      <c r="L245" s="43" t="s">
        <v>162</v>
      </c>
      <c r="M245" s="62">
        <v>112</v>
      </c>
      <c r="N245" s="45">
        <v>1</v>
      </c>
      <c r="O245" s="45">
        <v>672</v>
      </c>
      <c r="P245" s="45">
        <f t="shared" si="0"/>
        <v>672</v>
      </c>
      <c r="Q245" s="46"/>
      <c r="R245" s="46"/>
      <c r="S245" s="47" t="str">
        <f t="shared" si="1"/>
        <v/>
      </c>
      <c r="T245" s="47" t="str">
        <f t="shared" si="2"/>
        <v/>
      </c>
      <c r="U245" s="47">
        <f t="shared" si="3"/>
        <v>672</v>
      </c>
      <c r="V245" s="47" t="str">
        <f t="shared" si="4"/>
        <v/>
      </c>
      <c r="W245" s="47" t="str">
        <f t="shared" si="5"/>
        <v/>
      </c>
      <c r="X245" s="47" t="str">
        <f t="shared" si="6"/>
        <v/>
      </c>
      <c r="Y245" s="47" t="str">
        <f t="shared" si="7"/>
        <v/>
      </c>
      <c r="Z245" s="47">
        <f t="shared" si="22"/>
        <v>672</v>
      </c>
      <c r="AA245" s="47" t="str">
        <f t="shared" si="9"/>
        <v/>
      </c>
      <c r="AB245" s="47" t="str">
        <f t="shared" si="10"/>
        <v/>
      </c>
      <c r="AC245" s="47" t="str">
        <f t="shared" si="11"/>
        <v/>
      </c>
      <c r="AD245" s="47" t="str">
        <f t="shared" si="12"/>
        <v/>
      </c>
      <c r="AE245" s="47" t="str">
        <f t="shared" si="18"/>
        <v/>
      </c>
      <c r="AF245" s="47" t="str">
        <f t="shared" si="14"/>
        <v/>
      </c>
      <c r="AG245" s="47" t="str">
        <f t="shared" si="15"/>
        <v/>
      </c>
    </row>
    <row r="246" spans="1:33" x14ac:dyDescent="0.25">
      <c r="A246" s="36">
        <v>6</v>
      </c>
      <c r="B246" s="37" t="s">
        <v>326</v>
      </c>
      <c r="C246" s="37"/>
      <c r="D246" s="37"/>
      <c r="E246" s="37"/>
      <c r="F246" s="40"/>
      <c r="G246" s="51">
        <v>45686</v>
      </c>
      <c r="H246" s="40"/>
      <c r="I246" s="40"/>
      <c r="J246" s="42">
        <v>8</v>
      </c>
      <c r="K246" s="43" t="s">
        <v>327</v>
      </c>
      <c r="L246" s="43" t="s">
        <v>328</v>
      </c>
      <c r="M246" s="62">
        <v>500</v>
      </c>
      <c r="N246" s="45">
        <v>5</v>
      </c>
      <c r="O246" s="45">
        <v>4000</v>
      </c>
      <c r="P246" s="45">
        <f t="shared" si="0"/>
        <v>4000</v>
      </c>
      <c r="Q246" s="46"/>
      <c r="R246" s="46"/>
      <c r="S246" s="47" t="str">
        <f t="shared" si="1"/>
        <v/>
      </c>
      <c r="T246" s="47" t="str">
        <f t="shared" si="2"/>
        <v/>
      </c>
      <c r="U246" s="47" t="str">
        <f t="shared" si="3"/>
        <v/>
      </c>
      <c r="V246" s="47" t="str">
        <f t="shared" si="4"/>
        <v/>
      </c>
      <c r="W246" s="47" t="str">
        <f t="shared" si="5"/>
        <v/>
      </c>
      <c r="X246" s="47">
        <f t="shared" si="6"/>
        <v>4000</v>
      </c>
      <c r="Y246" s="47" t="str">
        <f t="shared" si="7"/>
        <v/>
      </c>
      <c r="Z246" s="47" t="str">
        <f t="shared" si="22"/>
        <v/>
      </c>
      <c r="AA246" s="47" t="str">
        <f t="shared" si="9"/>
        <v/>
      </c>
      <c r="AB246" s="47" t="str">
        <f t="shared" si="10"/>
        <v/>
      </c>
      <c r="AC246" s="47" t="str">
        <f t="shared" si="11"/>
        <v/>
      </c>
      <c r="AD246" s="47">
        <f t="shared" si="12"/>
        <v>4000</v>
      </c>
      <c r="AE246" s="47" t="str">
        <f t="shared" si="18"/>
        <v/>
      </c>
      <c r="AF246" s="47" t="str">
        <f t="shared" si="14"/>
        <v/>
      </c>
      <c r="AG246" s="47" t="str">
        <f t="shared" si="15"/>
        <v/>
      </c>
    </row>
    <row r="247" spans="1:33" x14ac:dyDescent="0.25">
      <c r="A247" s="36">
        <v>2</v>
      </c>
      <c r="B247" s="54" t="s">
        <v>92</v>
      </c>
      <c r="C247" s="55">
        <v>8181850101</v>
      </c>
      <c r="D247" s="54"/>
      <c r="E247" s="54"/>
      <c r="F247" s="54"/>
      <c r="G247" s="56">
        <v>45687</v>
      </c>
      <c r="H247" s="54"/>
      <c r="I247" s="54"/>
      <c r="J247" s="57">
        <v>8</v>
      </c>
      <c r="K247" s="54" t="s">
        <v>283</v>
      </c>
      <c r="L247" s="54" t="s">
        <v>329</v>
      </c>
      <c r="M247" s="64">
        <v>6</v>
      </c>
      <c r="N247" s="59"/>
      <c r="O247" s="59">
        <v>48</v>
      </c>
      <c r="P247" s="59">
        <f t="shared" si="0"/>
        <v>48</v>
      </c>
      <c r="Q247" s="54"/>
      <c r="R247" s="54"/>
      <c r="S247" s="60" t="str">
        <f t="shared" si="1"/>
        <v/>
      </c>
      <c r="T247" s="60">
        <f t="shared" si="2"/>
        <v>48</v>
      </c>
      <c r="U247" s="60" t="str">
        <f t="shared" si="3"/>
        <v/>
      </c>
      <c r="V247" s="60" t="str">
        <f t="shared" si="4"/>
        <v/>
      </c>
      <c r="W247" s="60" t="str">
        <f t="shared" si="5"/>
        <v/>
      </c>
      <c r="X247" s="60" t="str">
        <f t="shared" si="6"/>
        <v/>
      </c>
      <c r="Y247" s="60" t="str">
        <f t="shared" si="7"/>
        <v/>
      </c>
      <c r="Z247" s="60" t="str">
        <f t="shared" si="22"/>
        <v/>
      </c>
      <c r="AA247" s="60" t="str">
        <f t="shared" si="9"/>
        <v/>
      </c>
      <c r="AB247" s="60" t="str">
        <f t="shared" si="10"/>
        <v/>
      </c>
      <c r="AC247" s="60" t="str">
        <f t="shared" si="11"/>
        <v/>
      </c>
      <c r="AD247" s="60" t="str">
        <f t="shared" si="12"/>
        <v/>
      </c>
      <c r="AE247" s="60" t="str">
        <f t="shared" si="18"/>
        <v/>
      </c>
      <c r="AF247" s="60" t="str">
        <f t="shared" si="14"/>
        <v/>
      </c>
      <c r="AG247" s="60" t="str">
        <f t="shared" si="15"/>
        <v/>
      </c>
    </row>
    <row r="248" spans="1:33" x14ac:dyDescent="0.25">
      <c r="A248" s="36">
        <v>2</v>
      </c>
      <c r="B248" s="54" t="s">
        <v>92</v>
      </c>
      <c r="C248" s="54"/>
      <c r="D248" s="54"/>
      <c r="E248" s="54"/>
      <c r="F248" s="54"/>
      <c r="G248" s="61"/>
      <c r="H248" s="54"/>
      <c r="I248" s="54"/>
      <c r="J248" s="57">
        <v>5</v>
      </c>
      <c r="K248" s="54" t="s">
        <v>60</v>
      </c>
      <c r="L248" s="54" t="s">
        <v>330</v>
      </c>
      <c r="M248" s="64">
        <v>39</v>
      </c>
      <c r="N248" s="59"/>
      <c r="O248" s="59">
        <v>195</v>
      </c>
      <c r="P248" s="59">
        <f t="shared" si="0"/>
        <v>195</v>
      </c>
      <c r="Q248" s="54"/>
      <c r="R248" s="54"/>
      <c r="S248" s="60" t="str">
        <f t="shared" si="1"/>
        <v/>
      </c>
      <c r="T248" s="60">
        <f t="shared" si="2"/>
        <v>195</v>
      </c>
      <c r="U248" s="60" t="str">
        <f t="shared" si="3"/>
        <v/>
      </c>
      <c r="V248" s="60" t="str">
        <f t="shared" si="4"/>
        <v/>
      </c>
      <c r="W248" s="60" t="str">
        <f t="shared" si="5"/>
        <v/>
      </c>
      <c r="X248" s="60" t="str">
        <f t="shared" si="6"/>
        <v/>
      </c>
      <c r="Y248" s="60" t="str">
        <f t="shared" si="7"/>
        <v/>
      </c>
      <c r="Z248" s="60" t="str">
        <f t="shared" si="22"/>
        <v/>
      </c>
      <c r="AA248" s="60" t="str">
        <f t="shared" si="9"/>
        <v/>
      </c>
      <c r="AB248" s="60" t="str">
        <f t="shared" si="10"/>
        <v/>
      </c>
      <c r="AC248" s="60" t="str">
        <f t="shared" si="11"/>
        <v/>
      </c>
      <c r="AD248" s="60" t="str">
        <f t="shared" si="12"/>
        <v/>
      </c>
      <c r="AE248" s="60" t="str">
        <f t="shared" si="18"/>
        <v/>
      </c>
      <c r="AF248" s="60" t="str">
        <f t="shared" si="14"/>
        <v/>
      </c>
      <c r="AG248" s="60" t="str">
        <f t="shared" si="15"/>
        <v/>
      </c>
    </row>
    <row r="249" spans="1:33" x14ac:dyDescent="0.25">
      <c r="A249" s="36">
        <v>2</v>
      </c>
      <c r="B249" s="54" t="s">
        <v>92</v>
      </c>
      <c r="C249" s="54"/>
      <c r="D249" s="54"/>
      <c r="E249" s="54"/>
      <c r="F249" s="54"/>
      <c r="G249" s="61"/>
      <c r="H249" s="54"/>
      <c r="I249" s="54"/>
      <c r="J249" s="57">
        <v>1</v>
      </c>
      <c r="K249" s="54" t="s">
        <v>60</v>
      </c>
      <c r="L249" s="54" t="s">
        <v>331</v>
      </c>
      <c r="M249" s="64">
        <v>53.5</v>
      </c>
      <c r="N249" s="59"/>
      <c r="O249" s="59">
        <v>53.5</v>
      </c>
      <c r="P249" s="59">
        <f t="shared" si="0"/>
        <v>53.5</v>
      </c>
      <c r="Q249" s="54"/>
      <c r="R249" s="54"/>
      <c r="S249" s="60" t="str">
        <f t="shared" si="1"/>
        <v/>
      </c>
      <c r="T249" s="60">
        <f t="shared" si="2"/>
        <v>53.5</v>
      </c>
      <c r="U249" s="60" t="str">
        <f t="shared" si="3"/>
        <v/>
      </c>
      <c r="V249" s="60" t="str">
        <f t="shared" si="4"/>
        <v/>
      </c>
      <c r="W249" s="60" t="str">
        <f t="shared" si="5"/>
        <v/>
      </c>
      <c r="X249" s="60" t="str">
        <f t="shared" si="6"/>
        <v/>
      </c>
      <c r="Y249" s="60" t="str">
        <f t="shared" si="7"/>
        <v/>
      </c>
      <c r="Z249" s="60" t="str">
        <f t="shared" si="22"/>
        <v/>
      </c>
      <c r="AA249" s="60" t="str">
        <f t="shared" si="9"/>
        <v/>
      </c>
      <c r="AB249" s="60" t="str">
        <f t="shared" si="10"/>
        <v/>
      </c>
      <c r="AC249" s="60" t="str">
        <f t="shared" si="11"/>
        <v/>
      </c>
      <c r="AD249" s="60" t="str">
        <f t="shared" si="12"/>
        <v/>
      </c>
      <c r="AE249" s="60" t="str">
        <f t="shared" si="18"/>
        <v/>
      </c>
      <c r="AF249" s="60" t="str">
        <f t="shared" si="14"/>
        <v/>
      </c>
      <c r="AG249" s="60" t="str">
        <f t="shared" si="15"/>
        <v/>
      </c>
    </row>
    <row r="250" spans="1:33" x14ac:dyDescent="0.25">
      <c r="A250" s="36">
        <v>2</v>
      </c>
      <c r="B250" s="54" t="s">
        <v>92</v>
      </c>
      <c r="C250" s="54"/>
      <c r="D250" s="54"/>
      <c r="E250" s="54"/>
      <c r="F250" s="54"/>
      <c r="G250" s="61"/>
      <c r="H250" s="54"/>
      <c r="I250" s="54"/>
      <c r="J250" s="57">
        <v>7</v>
      </c>
      <c r="K250" s="54" t="s">
        <v>60</v>
      </c>
      <c r="L250" s="54" t="s">
        <v>332</v>
      </c>
      <c r="M250" s="64">
        <v>57</v>
      </c>
      <c r="N250" s="59"/>
      <c r="O250" s="59">
        <v>399</v>
      </c>
      <c r="P250" s="59">
        <f t="shared" si="0"/>
        <v>399</v>
      </c>
      <c r="Q250" s="54"/>
      <c r="R250" s="54"/>
      <c r="S250" s="60" t="str">
        <f t="shared" si="1"/>
        <v/>
      </c>
      <c r="T250" s="60">
        <f t="shared" si="2"/>
        <v>399</v>
      </c>
      <c r="U250" s="60" t="str">
        <f t="shared" si="3"/>
        <v/>
      </c>
      <c r="V250" s="60" t="str">
        <f t="shared" si="4"/>
        <v/>
      </c>
      <c r="W250" s="60" t="str">
        <f t="shared" si="5"/>
        <v/>
      </c>
      <c r="X250" s="60" t="str">
        <f t="shared" si="6"/>
        <v/>
      </c>
      <c r="Y250" s="60" t="str">
        <f t="shared" si="7"/>
        <v/>
      </c>
      <c r="Z250" s="60" t="str">
        <f t="shared" si="22"/>
        <v/>
      </c>
      <c r="AA250" s="60" t="str">
        <f t="shared" si="9"/>
        <v/>
      </c>
      <c r="AB250" s="60" t="str">
        <f t="shared" si="10"/>
        <v/>
      </c>
      <c r="AC250" s="60" t="str">
        <f t="shared" si="11"/>
        <v/>
      </c>
      <c r="AD250" s="60" t="str">
        <f t="shared" si="12"/>
        <v/>
      </c>
      <c r="AE250" s="60" t="str">
        <f t="shared" si="18"/>
        <v/>
      </c>
      <c r="AF250" s="60" t="str">
        <f t="shared" si="14"/>
        <v/>
      </c>
      <c r="AG250" s="60" t="str">
        <f t="shared" si="15"/>
        <v/>
      </c>
    </row>
    <row r="251" spans="1:33" x14ac:dyDescent="0.25">
      <c r="A251" s="36">
        <v>4</v>
      </c>
      <c r="B251" s="37" t="s">
        <v>333</v>
      </c>
      <c r="C251" s="38">
        <v>8110257019</v>
      </c>
      <c r="D251" s="37"/>
      <c r="E251" s="37"/>
      <c r="F251" s="40"/>
      <c r="G251" s="51">
        <v>45687</v>
      </c>
      <c r="H251" s="40"/>
      <c r="I251" s="40"/>
      <c r="J251" s="42">
        <v>2</v>
      </c>
      <c r="K251" s="43" t="s">
        <v>334</v>
      </c>
      <c r="L251" s="43" t="s">
        <v>335</v>
      </c>
      <c r="M251" s="62">
        <v>22</v>
      </c>
      <c r="N251" s="45">
        <v>1</v>
      </c>
      <c r="O251" s="45">
        <v>44</v>
      </c>
      <c r="P251" s="45">
        <f t="shared" si="0"/>
        <v>44</v>
      </c>
      <c r="Q251" s="46"/>
      <c r="R251" s="46"/>
      <c r="S251" s="47" t="str">
        <f t="shared" si="1"/>
        <v/>
      </c>
      <c r="T251" s="47" t="str">
        <f t="shared" si="2"/>
        <v/>
      </c>
      <c r="U251" s="47" t="str">
        <f t="shared" si="3"/>
        <v/>
      </c>
      <c r="V251" s="47">
        <f t="shared" si="4"/>
        <v>44</v>
      </c>
      <c r="W251" s="47" t="str">
        <f t="shared" si="5"/>
        <v/>
      </c>
      <c r="X251" s="47" t="str">
        <f t="shared" si="6"/>
        <v/>
      </c>
      <c r="Y251" s="47" t="str">
        <f t="shared" si="7"/>
        <v/>
      </c>
      <c r="Z251" s="47">
        <f t="shared" si="22"/>
        <v>44</v>
      </c>
      <c r="AA251" s="47" t="str">
        <f t="shared" si="9"/>
        <v/>
      </c>
      <c r="AB251" s="47" t="str">
        <f t="shared" si="10"/>
        <v/>
      </c>
      <c r="AC251" s="47" t="str">
        <f t="shared" si="11"/>
        <v/>
      </c>
      <c r="AD251" s="47" t="str">
        <f t="shared" si="12"/>
        <v/>
      </c>
      <c r="AE251" s="47" t="str">
        <f t="shared" si="18"/>
        <v/>
      </c>
      <c r="AF251" s="47" t="str">
        <f t="shared" si="14"/>
        <v/>
      </c>
      <c r="AG251" s="47" t="str">
        <f t="shared" si="15"/>
        <v/>
      </c>
    </row>
    <row r="252" spans="1:33" x14ac:dyDescent="0.25">
      <c r="A252" s="36">
        <v>4</v>
      </c>
      <c r="B252" s="37" t="s">
        <v>333</v>
      </c>
      <c r="C252" s="37"/>
      <c r="D252" s="37"/>
      <c r="E252" s="37"/>
      <c r="F252" s="40"/>
      <c r="G252" s="49"/>
      <c r="H252" s="40"/>
      <c r="I252" s="40"/>
      <c r="J252" s="42">
        <v>3</v>
      </c>
      <c r="K252" s="43" t="s">
        <v>82</v>
      </c>
      <c r="L252" s="43" t="s">
        <v>336</v>
      </c>
      <c r="M252" s="62">
        <v>98</v>
      </c>
      <c r="N252" s="45">
        <v>1</v>
      </c>
      <c r="O252" s="45">
        <v>294</v>
      </c>
      <c r="P252" s="45">
        <f t="shared" si="0"/>
        <v>294</v>
      </c>
      <c r="Q252" s="46"/>
      <c r="R252" s="46"/>
      <c r="S252" s="47" t="str">
        <f t="shared" si="1"/>
        <v/>
      </c>
      <c r="T252" s="47" t="str">
        <f t="shared" si="2"/>
        <v/>
      </c>
      <c r="U252" s="47" t="str">
        <f t="shared" si="3"/>
        <v/>
      </c>
      <c r="V252" s="47">
        <f t="shared" si="4"/>
        <v>294</v>
      </c>
      <c r="W252" s="47" t="str">
        <f t="shared" si="5"/>
        <v/>
      </c>
      <c r="X252" s="47" t="str">
        <f t="shared" si="6"/>
        <v/>
      </c>
      <c r="Y252" s="47" t="str">
        <f t="shared" si="7"/>
        <v/>
      </c>
      <c r="Z252" s="47">
        <f t="shared" si="22"/>
        <v>294</v>
      </c>
      <c r="AA252" s="47" t="str">
        <f t="shared" si="9"/>
        <v/>
      </c>
      <c r="AB252" s="47" t="str">
        <f t="shared" si="10"/>
        <v/>
      </c>
      <c r="AC252" s="47" t="str">
        <f t="shared" si="11"/>
        <v/>
      </c>
      <c r="AD252" s="47" t="str">
        <f t="shared" si="12"/>
        <v/>
      </c>
      <c r="AE252" s="47" t="str">
        <f t="shared" si="18"/>
        <v/>
      </c>
      <c r="AF252" s="47" t="str">
        <f t="shared" si="14"/>
        <v/>
      </c>
      <c r="AG252" s="47" t="str">
        <f t="shared" si="15"/>
        <v/>
      </c>
    </row>
    <row r="253" spans="1:33" x14ac:dyDescent="0.25">
      <c r="A253" s="36">
        <v>4</v>
      </c>
      <c r="B253" s="37" t="s">
        <v>333</v>
      </c>
      <c r="C253" s="37"/>
      <c r="D253" s="37"/>
      <c r="E253" s="37"/>
      <c r="F253" s="40"/>
      <c r="G253" s="49"/>
      <c r="H253" s="40"/>
      <c r="I253" s="40"/>
      <c r="J253" s="42">
        <v>2</v>
      </c>
      <c r="K253" s="43" t="s">
        <v>82</v>
      </c>
      <c r="L253" s="43" t="s">
        <v>337</v>
      </c>
      <c r="M253" s="62">
        <v>53</v>
      </c>
      <c r="N253" s="45">
        <v>1</v>
      </c>
      <c r="O253" s="45">
        <v>106</v>
      </c>
      <c r="P253" s="45">
        <f t="shared" si="0"/>
        <v>106</v>
      </c>
      <c r="Q253" s="46"/>
      <c r="R253" s="46"/>
      <c r="S253" s="47" t="str">
        <f t="shared" si="1"/>
        <v/>
      </c>
      <c r="T253" s="47" t="str">
        <f t="shared" si="2"/>
        <v/>
      </c>
      <c r="U253" s="47" t="str">
        <f t="shared" si="3"/>
        <v/>
      </c>
      <c r="V253" s="47">
        <f t="shared" si="4"/>
        <v>106</v>
      </c>
      <c r="W253" s="47" t="str">
        <f t="shared" si="5"/>
        <v/>
      </c>
      <c r="X253" s="47" t="str">
        <f t="shared" si="6"/>
        <v/>
      </c>
      <c r="Y253" s="47" t="str">
        <f t="shared" si="7"/>
        <v/>
      </c>
      <c r="Z253" s="47">
        <f t="shared" si="22"/>
        <v>106</v>
      </c>
      <c r="AA253" s="47" t="str">
        <f t="shared" si="9"/>
        <v/>
      </c>
      <c r="AB253" s="47" t="str">
        <f t="shared" si="10"/>
        <v/>
      </c>
      <c r="AC253" s="47" t="str">
        <f t="shared" si="11"/>
        <v/>
      </c>
      <c r="AD253" s="47" t="str">
        <f t="shared" si="12"/>
        <v/>
      </c>
      <c r="AE253" s="47" t="str">
        <f t="shared" si="18"/>
        <v/>
      </c>
      <c r="AF253" s="47" t="str">
        <f t="shared" si="14"/>
        <v/>
      </c>
      <c r="AG253" s="47" t="str">
        <f t="shared" si="15"/>
        <v/>
      </c>
    </row>
    <row r="254" spans="1:33" x14ac:dyDescent="0.25">
      <c r="A254" s="36">
        <v>7</v>
      </c>
      <c r="B254" s="37" t="s">
        <v>338</v>
      </c>
      <c r="C254" s="38">
        <v>8135509668</v>
      </c>
      <c r="D254" s="37"/>
      <c r="E254" s="37"/>
      <c r="F254" s="40"/>
      <c r="G254" s="51">
        <v>45688</v>
      </c>
      <c r="H254" s="40"/>
      <c r="I254" s="40"/>
      <c r="J254" s="42">
        <v>25</v>
      </c>
      <c r="K254" s="43" t="s">
        <v>56</v>
      </c>
      <c r="L254" s="43" t="s">
        <v>339</v>
      </c>
      <c r="M254" s="62">
        <v>130</v>
      </c>
      <c r="N254" s="45">
        <v>1</v>
      </c>
      <c r="O254" s="45">
        <v>3250</v>
      </c>
      <c r="P254" s="45">
        <f t="shared" si="0"/>
        <v>3250</v>
      </c>
      <c r="Q254" s="46"/>
      <c r="R254" s="46"/>
      <c r="S254" s="47" t="str">
        <f t="shared" si="1"/>
        <v/>
      </c>
      <c r="T254" s="47" t="str">
        <f t="shared" si="2"/>
        <v/>
      </c>
      <c r="U254" s="47" t="str">
        <f t="shared" si="3"/>
        <v/>
      </c>
      <c r="V254" s="47" t="str">
        <f t="shared" si="4"/>
        <v/>
      </c>
      <c r="W254" s="47" t="str">
        <f t="shared" si="5"/>
        <v/>
      </c>
      <c r="X254" s="47" t="str">
        <f t="shared" si="6"/>
        <v/>
      </c>
      <c r="Y254" s="47">
        <f t="shared" si="7"/>
        <v>3250</v>
      </c>
      <c r="Z254" s="47">
        <f t="shared" si="22"/>
        <v>3250</v>
      </c>
      <c r="AA254" s="47" t="str">
        <f t="shared" si="9"/>
        <v/>
      </c>
      <c r="AB254" s="47" t="str">
        <f t="shared" si="10"/>
        <v/>
      </c>
      <c r="AC254" s="47" t="str">
        <f t="shared" si="11"/>
        <v/>
      </c>
      <c r="AD254" s="47" t="str">
        <f t="shared" si="12"/>
        <v/>
      </c>
      <c r="AE254" s="47" t="str">
        <f t="shared" si="18"/>
        <v/>
      </c>
      <c r="AF254" s="47" t="str">
        <f t="shared" si="14"/>
        <v/>
      </c>
      <c r="AG254" s="47" t="str">
        <f t="shared" si="15"/>
        <v/>
      </c>
    </row>
    <row r="255" spans="1:33" x14ac:dyDescent="0.25">
      <c r="A255" s="36">
        <v>4</v>
      </c>
      <c r="B255" s="37" t="s">
        <v>340</v>
      </c>
      <c r="C255" s="38">
        <v>8180881529</v>
      </c>
      <c r="D255" s="37"/>
      <c r="E255" s="37"/>
      <c r="F255" s="40"/>
      <c r="G255" s="51">
        <v>45688</v>
      </c>
      <c r="H255" s="40"/>
      <c r="I255" s="40"/>
      <c r="J255" s="42">
        <v>5</v>
      </c>
      <c r="K255" s="43" t="s">
        <v>56</v>
      </c>
      <c r="L255" s="43" t="s">
        <v>341</v>
      </c>
      <c r="M255" s="62">
        <v>60.5</v>
      </c>
      <c r="N255" s="45">
        <v>3</v>
      </c>
      <c r="O255" s="45">
        <v>302.5</v>
      </c>
      <c r="P255" s="45">
        <f t="shared" si="0"/>
        <v>302.5</v>
      </c>
      <c r="Q255" s="46"/>
      <c r="R255" s="46"/>
      <c r="S255" s="47" t="str">
        <f t="shared" si="1"/>
        <v/>
      </c>
      <c r="T255" s="47" t="str">
        <f t="shared" si="2"/>
        <v/>
      </c>
      <c r="U255" s="47" t="str">
        <f t="shared" si="3"/>
        <v/>
      </c>
      <c r="V255" s="47">
        <f t="shared" si="4"/>
        <v>302.5</v>
      </c>
      <c r="W255" s="47" t="str">
        <f t="shared" si="5"/>
        <v/>
      </c>
      <c r="X255" s="47" t="str">
        <f t="shared" si="6"/>
        <v/>
      </c>
      <c r="Y255" s="47" t="str">
        <f t="shared" si="7"/>
        <v/>
      </c>
      <c r="Z255" s="47" t="str">
        <f t="shared" si="22"/>
        <v/>
      </c>
      <c r="AA255" s="47" t="str">
        <f t="shared" si="9"/>
        <v/>
      </c>
      <c r="AB255" s="47">
        <f t="shared" si="10"/>
        <v>302.5</v>
      </c>
      <c r="AC255" s="47" t="str">
        <f t="shared" si="11"/>
        <v/>
      </c>
      <c r="AD255" s="47" t="str">
        <f t="shared" si="12"/>
        <v/>
      </c>
      <c r="AE255" s="47" t="str">
        <f t="shared" si="18"/>
        <v/>
      </c>
      <c r="AF255" s="47" t="str">
        <f t="shared" si="14"/>
        <v/>
      </c>
      <c r="AG255" s="47" t="str">
        <f t="shared" si="15"/>
        <v/>
      </c>
    </row>
    <row r="256" spans="1:33" x14ac:dyDescent="0.25">
      <c r="A256" s="36">
        <v>4</v>
      </c>
      <c r="B256" s="37" t="s">
        <v>340</v>
      </c>
      <c r="C256" s="37"/>
      <c r="D256" s="37"/>
      <c r="E256" s="37"/>
      <c r="F256" s="40"/>
      <c r="G256" s="49"/>
      <c r="H256" s="40"/>
      <c r="I256" s="40"/>
      <c r="J256" s="42">
        <v>7</v>
      </c>
      <c r="K256" s="43" t="s">
        <v>46</v>
      </c>
      <c r="L256" s="43" t="s">
        <v>342</v>
      </c>
      <c r="M256" s="62">
        <v>85</v>
      </c>
      <c r="N256" s="45">
        <v>3</v>
      </c>
      <c r="O256" s="45">
        <v>595</v>
      </c>
      <c r="P256" s="45">
        <f t="shared" si="0"/>
        <v>595</v>
      </c>
      <c r="Q256" s="46"/>
      <c r="R256" s="46"/>
      <c r="S256" s="47" t="str">
        <f t="shared" si="1"/>
        <v/>
      </c>
      <c r="T256" s="47" t="str">
        <f t="shared" si="2"/>
        <v/>
      </c>
      <c r="U256" s="47" t="str">
        <f t="shared" si="3"/>
        <v/>
      </c>
      <c r="V256" s="47">
        <f t="shared" si="4"/>
        <v>595</v>
      </c>
      <c r="W256" s="47" t="str">
        <f t="shared" si="5"/>
        <v/>
      </c>
      <c r="X256" s="47" t="str">
        <f t="shared" si="6"/>
        <v/>
      </c>
      <c r="Y256" s="47" t="str">
        <f t="shared" si="7"/>
        <v/>
      </c>
      <c r="Z256" s="47" t="str">
        <f t="shared" si="22"/>
        <v/>
      </c>
      <c r="AA256" s="47" t="str">
        <f t="shared" si="9"/>
        <v/>
      </c>
      <c r="AB256" s="47">
        <f t="shared" si="10"/>
        <v>595</v>
      </c>
      <c r="AC256" s="47" t="str">
        <f t="shared" si="11"/>
        <v/>
      </c>
      <c r="AD256" s="47" t="str">
        <f t="shared" si="12"/>
        <v/>
      </c>
      <c r="AE256" s="47" t="str">
        <f t="shared" si="18"/>
        <v/>
      </c>
      <c r="AF256" s="47" t="str">
        <f t="shared" si="14"/>
        <v/>
      </c>
      <c r="AG256" s="47" t="str">
        <f t="shared" si="15"/>
        <v/>
      </c>
    </row>
    <row r="257" spans="1:33" x14ac:dyDescent="0.25">
      <c r="A257" s="36">
        <v>4</v>
      </c>
      <c r="B257" s="37" t="s">
        <v>340</v>
      </c>
      <c r="C257" s="37"/>
      <c r="D257" s="37"/>
      <c r="E257" s="37"/>
      <c r="F257" s="40"/>
      <c r="G257" s="49"/>
      <c r="H257" s="40"/>
      <c r="I257" s="40"/>
      <c r="J257" s="42">
        <v>3</v>
      </c>
      <c r="K257" s="43" t="s">
        <v>46</v>
      </c>
      <c r="L257" s="43" t="s">
        <v>343</v>
      </c>
      <c r="M257" s="62">
        <v>85</v>
      </c>
      <c r="N257" s="45">
        <v>3</v>
      </c>
      <c r="O257" s="45">
        <v>255</v>
      </c>
      <c r="P257" s="45">
        <f t="shared" si="0"/>
        <v>255</v>
      </c>
      <c r="Q257" s="46"/>
      <c r="R257" s="46"/>
      <c r="S257" s="47" t="str">
        <f t="shared" si="1"/>
        <v/>
      </c>
      <c r="T257" s="47" t="str">
        <f t="shared" si="2"/>
        <v/>
      </c>
      <c r="U257" s="47" t="str">
        <f t="shared" si="3"/>
        <v/>
      </c>
      <c r="V257" s="47">
        <f t="shared" si="4"/>
        <v>255</v>
      </c>
      <c r="W257" s="47" t="str">
        <f t="shared" si="5"/>
        <v/>
      </c>
      <c r="X257" s="47" t="str">
        <f t="shared" si="6"/>
        <v/>
      </c>
      <c r="Y257" s="47" t="str">
        <f t="shared" si="7"/>
        <v/>
      </c>
      <c r="Z257" s="47" t="str">
        <f t="shared" si="22"/>
        <v/>
      </c>
      <c r="AA257" s="47" t="str">
        <f t="shared" si="9"/>
        <v/>
      </c>
      <c r="AB257" s="47">
        <f t="shared" si="10"/>
        <v>255</v>
      </c>
      <c r="AC257" s="47" t="str">
        <f t="shared" si="11"/>
        <v/>
      </c>
      <c r="AD257" s="47" t="str">
        <f t="shared" si="12"/>
        <v/>
      </c>
      <c r="AE257" s="47" t="str">
        <f t="shared" si="18"/>
        <v/>
      </c>
      <c r="AF257" s="47" t="str">
        <f t="shared" si="14"/>
        <v/>
      </c>
      <c r="AG257" s="47" t="str">
        <f t="shared" si="15"/>
        <v/>
      </c>
    </row>
    <row r="258" spans="1:33" x14ac:dyDescent="0.25">
      <c r="A258" s="36">
        <v>4</v>
      </c>
      <c r="B258" s="37" t="s">
        <v>340</v>
      </c>
      <c r="C258" s="37"/>
      <c r="D258" s="37"/>
      <c r="E258" s="37"/>
      <c r="F258" s="40"/>
      <c r="G258" s="49"/>
      <c r="H258" s="40"/>
      <c r="I258" s="40"/>
      <c r="J258" s="42">
        <v>3</v>
      </c>
      <c r="K258" s="43" t="s">
        <v>46</v>
      </c>
      <c r="L258" s="43" t="s">
        <v>344</v>
      </c>
      <c r="M258" s="62">
        <v>56</v>
      </c>
      <c r="N258" s="45">
        <v>3</v>
      </c>
      <c r="O258" s="45">
        <v>168</v>
      </c>
      <c r="P258" s="45">
        <f t="shared" si="0"/>
        <v>168</v>
      </c>
      <c r="Q258" s="46"/>
      <c r="R258" s="46"/>
      <c r="S258" s="47" t="str">
        <f t="shared" si="1"/>
        <v/>
      </c>
      <c r="T258" s="47" t="str">
        <f t="shared" si="2"/>
        <v/>
      </c>
      <c r="U258" s="47" t="str">
        <f t="shared" si="3"/>
        <v/>
      </c>
      <c r="V258" s="47">
        <f t="shared" si="4"/>
        <v>168</v>
      </c>
      <c r="W258" s="47" t="str">
        <f t="shared" si="5"/>
        <v/>
      </c>
      <c r="X258" s="47" t="str">
        <f t="shared" si="6"/>
        <v/>
      </c>
      <c r="Y258" s="47" t="str">
        <f t="shared" si="7"/>
        <v/>
      </c>
      <c r="Z258" s="47" t="str">
        <f t="shared" si="22"/>
        <v/>
      </c>
      <c r="AA258" s="47" t="str">
        <f t="shared" si="9"/>
        <v/>
      </c>
      <c r="AB258" s="47">
        <f t="shared" si="10"/>
        <v>168</v>
      </c>
      <c r="AC258" s="47" t="str">
        <f t="shared" si="11"/>
        <v/>
      </c>
      <c r="AD258" s="47" t="str">
        <f t="shared" si="12"/>
        <v/>
      </c>
      <c r="AE258" s="47" t="str">
        <f t="shared" si="18"/>
        <v/>
      </c>
      <c r="AF258" s="47" t="str">
        <f t="shared" si="14"/>
        <v/>
      </c>
      <c r="AG258" s="47" t="str">
        <f t="shared" si="15"/>
        <v/>
      </c>
    </row>
    <row r="259" spans="1:33" x14ac:dyDescent="0.25">
      <c r="A259" s="36">
        <v>4</v>
      </c>
      <c r="B259" s="37" t="s">
        <v>340</v>
      </c>
      <c r="C259" s="37"/>
      <c r="D259" s="37"/>
      <c r="E259" s="37"/>
      <c r="F259" s="40"/>
      <c r="G259" s="49"/>
      <c r="H259" s="40"/>
      <c r="I259" s="40"/>
      <c r="J259" s="42">
        <v>3</v>
      </c>
      <c r="K259" s="43" t="s">
        <v>46</v>
      </c>
      <c r="L259" s="43" t="s">
        <v>345</v>
      </c>
      <c r="M259" s="62">
        <v>15</v>
      </c>
      <c r="N259" s="45">
        <v>3</v>
      </c>
      <c r="O259" s="45">
        <v>45</v>
      </c>
      <c r="P259" s="45">
        <f t="shared" si="0"/>
        <v>45</v>
      </c>
      <c r="Q259" s="46"/>
      <c r="R259" s="46"/>
      <c r="S259" s="47" t="str">
        <f t="shared" si="1"/>
        <v/>
      </c>
      <c r="T259" s="47" t="str">
        <f t="shared" si="2"/>
        <v/>
      </c>
      <c r="U259" s="47" t="str">
        <f t="shared" si="3"/>
        <v/>
      </c>
      <c r="V259" s="47">
        <f t="shared" si="4"/>
        <v>45</v>
      </c>
      <c r="W259" s="47" t="str">
        <f t="shared" si="5"/>
        <v/>
      </c>
      <c r="X259" s="47" t="str">
        <f t="shared" si="6"/>
        <v/>
      </c>
      <c r="Y259" s="47" t="str">
        <f t="shared" si="7"/>
        <v/>
      </c>
      <c r="Z259" s="47" t="str">
        <f t="shared" si="22"/>
        <v/>
      </c>
      <c r="AA259" s="47" t="str">
        <f t="shared" si="9"/>
        <v/>
      </c>
      <c r="AB259" s="47">
        <f t="shared" si="10"/>
        <v>45</v>
      </c>
      <c r="AC259" s="47" t="str">
        <f t="shared" si="11"/>
        <v/>
      </c>
      <c r="AD259" s="47" t="str">
        <f t="shared" si="12"/>
        <v/>
      </c>
      <c r="AE259" s="47" t="str">
        <f t="shared" si="18"/>
        <v/>
      </c>
      <c r="AF259" s="47" t="str">
        <f t="shared" si="14"/>
        <v/>
      </c>
      <c r="AG259" s="47" t="str">
        <f t="shared" si="15"/>
        <v/>
      </c>
    </row>
    <row r="260" spans="1:33" x14ac:dyDescent="0.25">
      <c r="A260" s="36">
        <v>4</v>
      </c>
      <c r="B260" s="37" t="s">
        <v>340</v>
      </c>
      <c r="C260" s="37"/>
      <c r="D260" s="37"/>
      <c r="E260" s="37"/>
      <c r="F260" s="40"/>
      <c r="G260" s="49"/>
      <c r="H260" s="40"/>
      <c r="I260" s="40"/>
      <c r="J260" s="42">
        <v>3</v>
      </c>
      <c r="K260" s="43" t="s">
        <v>46</v>
      </c>
      <c r="L260" s="43" t="s">
        <v>346</v>
      </c>
      <c r="M260" s="62">
        <v>65</v>
      </c>
      <c r="N260" s="45">
        <v>3</v>
      </c>
      <c r="O260" s="45">
        <v>195</v>
      </c>
      <c r="P260" s="45">
        <f t="shared" si="0"/>
        <v>195</v>
      </c>
      <c r="Q260" s="46"/>
      <c r="R260" s="46"/>
      <c r="S260" s="47" t="str">
        <f t="shared" si="1"/>
        <v/>
      </c>
      <c r="T260" s="47" t="str">
        <f t="shared" si="2"/>
        <v/>
      </c>
      <c r="U260" s="47" t="str">
        <f t="shared" si="3"/>
        <v/>
      </c>
      <c r="V260" s="47">
        <f t="shared" si="4"/>
        <v>195</v>
      </c>
      <c r="W260" s="47" t="str">
        <f t="shared" si="5"/>
        <v/>
      </c>
      <c r="X260" s="47" t="str">
        <f t="shared" si="6"/>
        <v/>
      </c>
      <c r="Y260" s="47" t="str">
        <f t="shared" si="7"/>
        <v/>
      </c>
      <c r="Z260" s="47" t="str">
        <f t="shared" si="22"/>
        <v/>
      </c>
      <c r="AA260" s="47" t="str">
        <f t="shared" si="9"/>
        <v/>
      </c>
      <c r="AB260" s="47">
        <f t="shared" si="10"/>
        <v>195</v>
      </c>
      <c r="AC260" s="47" t="str">
        <f t="shared" si="11"/>
        <v/>
      </c>
      <c r="AD260" s="47" t="str">
        <f t="shared" si="12"/>
        <v/>
      </c>
      <c r="AE260" s="47" t="str">
        <f t="shared" si="18"/>
        <v/>
      </c>
      <c r="AF260" s="47" t="str">
        <f t="shared" si="14"/>
        <v/>
      </c>
      <c r="AG260" s="47" t="str">
        <f t="shared" si="15"/>
        <v/>
      </c>
    </row>
    <row r="261" spans="1:33" x14ac:dyDescent="0.25">
      <c r="A261" s="36">
        <v>4</v>
      </c>
      <c r="B261" s="37" t="s">
        <v>340</v>
      </c>
      <c r="C261" s="37"/>
      <c r="D261" s="37"/>
      <c r="E261" s="37"/>
      <c r="F261" s="40"/>
      <c r="G261" s="49"/>
      <c r="H261" s="40"/>
      <c r="I261" s="40"/>
      <c r="J261" s="42">
        <v>10</v>
      </c>
      <c r="K261" s="43" t="s">
        <v>46</v>
      </c>
      <c r="L261" s="43" t="s">
        <v>347</v>
      </c>
      <c r="M261" s="44">
        <v>25</v>
      </c>
      <c r="N261" s="45">
        <v>3</v>
      </c>
      <c r="O261" s="45">
        <v>250</v>
      </c>
      <c r="P261" s="45">
        <f t="shared" ref="P261:P276" si="23">O261</f>
        <v>250</v>
      </c>
      <c r="Q261" s="46"/>
      <c r="R261" s="46"/>
      <c r="S261" s="47" t="str">
        <f t="shared" ref="S261:S276" si="24">IF($A261=1,$P261,"")</f>
        <v/>
      </c>
      <c r="T261" s="47" t="str">
        <f t="shared" ref="T261:T276" si="25">IF($A261=2,$P261,"")</f>
        <v/>
      </c>
      <c r="U261" s="47" t="str">
        <f t="shared" ref="U261:U276" si="26">IF($A261=3,$P261,"")</f>
        <v/>
      </c>
      <c r="V261" s="47">
        <f t="shared" ref="V261:V276" si="27">IF($A261=4,$P261,"")</f>
        <v>250</v>
      </c>
      <c r="W261" s="47" t="str">
        <f t="shared" ref="W261:W276" si="28">IF($A261=5,$P261,"")</f>
        <v/>
      </c>
      <c r="X261" s="47" t="str">
        <f t="shared" ref="X261:X276" si="29">IF($A261=6,$P261,"")</f>
        <v/>
      </c>
      <c r="Y261" s="47" t="str">
        <f t="shared" ref="Y261:Y276" si="30">IF($A261=7,$P261,"")</f>
        <v/>
      </c>
      <c r="Z261" s="47" t="str">
        <f t="shared" si="22"/>
        <v/>
      </c>
      <c r="AA261" s="47" t="str">
        <f t="shared" ref="AA261:AA276" si="31">IF($N261=2,$P261,"")</f>
        <v/>
      </c>
      <c r="AB261" s="47">
        <f t="shared" ref="AB261:AB276" si="32">IF($N261=3,$P261,"")</f>
        <v>250</v>
      </c>
      <c r="AC261" s="47" t="str">
        <f t="shared" ref="AC261:AC276" si="33">IF($N261=4,$P261,"")</f>
        <v/>
      </c>
      <c r="AD261" s="47" t="str">
        <f t="shared" ref="AD261:AD276" si="34">IF($N261=5,$P261,"")</f>
        <v/>
      </c>
      <c r="AE261" s="47" t="str">
        <f t="shared" si="18"/>
        <v/>
      </c>
      <c r="AF261" s="47" t="str">
        <f t="shared" ref="AF261:AF276" si="35">IF($N261=7,$O261,"")</f>
        <v/>
      </c>
      <c r="AG261" s="47" t="str">
        <f t="shared" ref="AG261:AG276" si="36">IF($N261=8,#REF!,"")</f>
        <v/>
      </c>
    </row>
    <row r="262" spans="1:33" x14ac:dyDescent="0.25">
      <c r="A262" s="36">
        <v>4</v>
      </c>
      <c r="B262" s="37" t="s">
        <v>340</v>
      </c>
      <c r="C262" s="37"/>
      <c r="D262" s="37"/>
      <c r="E262" s="37"/>
      <c r="F262" s="40"/>
      <c r="G262" s="49"/>
      <c r="H262" s="40"/>
      <c r="I262" s="40"/>
      <c r="J262" s="42">
        <v>3</v>
      </c>
      <c r="K262" s="43" t="s">
        <v>334</v>
      </c>
      <c r="L262" s="43" t="s">
        <v>348</v>
      </c>
      <c r="M262" s="62">
        <v>93</v>
      </c>
      <c r="N262" s="45">
        <v>2</v>
      </c>
      <c r="O262" s="45">
        <v>279</v>
      </c>
      <c r="P262" s="45">
        <f t="shared" si="23"/>
        <v>279</v>
      </c>
      <c r="Q262" s="46"/>
      <c r="R262" s="46"/>
      <c r="S262" s="47" t="str">
        <f t="shared" si="24"/>
        <v/>
      </c>
      <c r="T262" s="47" t="str">
        <f t="shared" si="25"/>
        <v/>
      </c>
      <c r="U262" s="47" t="str">
        <f t="shared" si="26"/>
        <v/>
      </c>
      <c r="V262" s="47">
        <f t="shared" si="27"/>
        <v>279</v>
      </c>
      <c r="W262" s="47" t="str">
        <f t="shared" si="28"/>
        <v/>
      </c>
      <c r="X262" s="47" t="str">
        <f t="shared" si="29"/>
        <v/>
      </c>
      <c r="Y262" s="47" t="str">
        <f t="shared" si="30"/>
        <v/>
      </c>
      <c r="Z262" s="47" t="str">
        <f t="shared" si="22"/>
        <v/>
      </c>
      <c r="AA262" s="47">
        <f t="shared" si="31"/>
        <v>279</v>
      </c>
      <c r="AB262" s="47" t="str">
        <f t="shared" si="32"/>
        <v/>
      </c>
      <c r="AC262" s="47" t="str">
        <f t="shared" si="33"/>
        <v/>
      </c>
      <c r="AD262" s="47" t="str">
        <f t="shared" si="34"/>
        <v/>
      </c>
      <c r="AE262" s="47" t="str">
        <f t="shared" si="18"/>
        <v/>
      </c>
      <c r="AF262" s="47" t="str">
        <f t="shared" si="35"/>
        <v/>
      </c>
      <c r="AG262" s="47" t="str">
        <f t="shared" si="36"/>
        <v/>
      </c>
    </row>
    <row r="263" spans="1:33" x14ac:dyDescent="0.25">
      <c r="A263" s="36">
        <v>4</v>
      </c>
      <c r="B263" s="37" t="s">
        <v>340</v>
      </c>
      <c r="C263" s="37"/>
      <c r="D263" s="37"/>
      <c r="E263" s="37"/>
      <c r="F263" s="40"/>
      <c r="G263" s="49"/>
      <c r="H263" s="40"/>
      <c r="I263" s="40"/>
      <c r="J263" s="42">
        <v>3</v>
      </c>
      <c r="K263" s="43" t="s">
        <v>334</v>
      </c>
      <c r="L263" s="43" t="s">
        <v>349</v>
      </c>
      <c r="M263" s="44">
        <v>120</v>
      </c>
      <c r="N263" s="45">
        <v>2</v>
      </c>
      <c r="O263" s="45">
        <v>360</v>
      </c>
      <c r="P263" s="45">
        <f t="shared" si="23"/>
        <v>360</v>
      </c>
      <c r="Q263" s="46"/>
      <c r="R263" s="46"/>
      <c r="S263" s="47" t="str">
        <f t="shared" si="24"/>
        <v/>
      </c>
      <c r="T263" s="47" t="str">
        <f t="shared" si="25"/>
        <v/>
      </c>
      <c r="U263" s="47" t="str">
        <f t="shared" si="26"/>
        <v/>
      </c>
      <c r="V263" s="47">
        <f t="shared" si="27"/>
        <v>360</v>
      </c>
      <c r="W263" s="47" t="str">
        <f t="shared" si="28"/>
        <v/>
      </c>
      <c r="X263" s="47" t="str">
        <f t="shared" si="29"/>
        <v/>
      </c>
      <c r="Y263" s="47" t="str">
        <f t="shared" si="30"/>
        <v/>
      </c>
      <c r="Z263" s="47" t="str">
        <f t="shared" si="22"/>
        <v/>
      </c>
      <c r="AA263" s="47">
        <f t="shared" si="31"/>
        <v>360</v>
      </c>
      <c r="AB263" s="47" t="str">
        <f t="shared" si="32"/>
        <v/>
      </c>
      <c r="AC263" s="47" t="str">
        <f t="shared" si="33"/>
        <v/>
      </c>
      <c r="AD263" s="47" t="str">
        <f t="shared" si="34"/>
        <v/>
      </c>
      <c r="AE263" s="47" t="str">
        <f t="shared" si="18"/>
        <v/>
      </c>
      <c r="AF263" s="47" t="str">
        <f t="shared" si="35"/>
        <v/>
      </c>
      <c r="AG263" s="47" t="str">
        <f t="shared" si="36"/>
        <v/>
      </c>
    </row>
    <row r="264" spans="1:33" x14ac:dyDescent="0.25">
      <c r="A264" s="36">
        <v>4</v>
      </c>
      <c r="B264" s="37" t="s">
        <v>340</v>
      </c>
      <c r="C264" s="37"/>
      <c r="D264" s="37"/>
      <c r="E264" s="37"/>
      <c r="F264" s="40"/>
      <c r="G264" s="49"/>
      <c r="H264" s="40"/>
      <c r="I264" s="40"/>
      <c r="J264" s="42">
        <v>5</v>
      </c>
      <c r="K264" s="43" t="s">
        <v>334</v>
      </c>
      <c r="L264" s="43" t="s">
        <v>350</v>
      </c>
      <c r="M264" s="62">
        <v>26</v>
      </c>
      <c r="N264" s="45">
        <v>2</v>
      </c>
      <c r="O264" s="45">
        <v>130</v>
      </c>
      <c r="P264" s="45">
        <f t="shared" si="23"/>
        <v>130</v>
      </c>
      <c r="Q264" s="46"/>
      <c r="R264" s="46"/>
      <c r="S264" s="47" t="str">
        <f t="shared" si="24"/>
        <v/>
      </c>
      <c r="T264" s="47" t="str">
        <f t="shared" si="25"/>
        <v/>
      </c>
      <c r="U264" s="47" t="str">
        <f t="shared" si="26"/>
        <v/>
      </c>
      <c r="V264" s="47">
        <f t="shared" si="27"/>
        <v>130</v>
      </c>
      <c r="W264" s="47" t="str">
        <f t="shared" si="28"/>
        <v/>
      </c>
      <c r="X264" s="47" t="str">
        <f t="shared" si="29"/>
        <v/>
      </c>
      <c r="Y264" s="47" t="str">
        <f t="shared" si="30"/>
        <v/>
      </c>
      <c r="Z264" s="47" t="str">
        <f t="shared" si="22"/>
        <v/>
      </c>
      <c r="AA264" s="47">
        <f t="shared" si="31"/>
        <v>130</v>
      </c>
      <c r="AB264" s="47" t="str">
        <f t="shared" si="32"/>
        <v/>
      </c>
      <c r="AC264" s="47" t="str">
        <f t="shared" si="33"/>
        <v/>
      </c>
      <c r="AD264" s="47" t="str">
        <f t="shared" si="34"/>
        <v/>
      </c>
      <c r="AE264" s="47" t="str">
        <f t="shared" si="18"/>
        <v/>
      </c>
      <c r="AF264" s="47" t="str">
        <f t="shared" si="35"/>
        <v/>
      </c>
      <c r="AG264" s="47" t="str">
        <f t="shared" si="36"/>
        <v/>
      </c>
    </row>
    <row r="265" spans="1:33" x14ac:dyDescent="0.25">
      <c r="A265" s="36">
        <v>4</v>
      </c>
      <c r="B265" s="37" t="s">
        <v>340</v>
      </c>
      <c r="C265" s="37"/>
      <c r="D265" s="37"/>
      <c r="E265" s="37"/>
      <c r="F265" s="40"/>
      <c r="G265" s="49"/>
      <c r="H265" s="40"/>
      <c r="I265" s="40"/>
      <c r="J265" s="42">
        <v>2</v>
      </c>
      <c r="K265" s="43" t="s">
        <v>71</v>
      </c>
      <c r="L265" s="43" t="s">
        <v>351</v>
      </c>
      <c r="M265" s="62">
        <v>120</v>
      </c>
      <c r="N265" s="45">
        <v>1</v>
      </c>
      <c r="O265" s="45">
        <v>240</v>
      </c>
      <c r="P265" s="45">
        <f t="shared" si="23"/>
        <v>240</v>
      </c>
      <c r="Q265" s="46"/>
      <c r="R265" s="46"/>
      <c r="S265" s="47" t="str">
        <f t="shared" si="24"/>
        <v/>
      </c>
      <c r="T265" s="47" t="str">
        <f t="shared" si="25"/>
        <v/>
      </c>
      <c r="U265" s="47" t="str">
        <f t="shared" si="26"/>
        <v/>
      </c>
      <c r="V265" s="47">
        <f t="shared" si="27"/>
        <v>240</v>
      </c>
      <c r="W265" s="47" t="str">
        <f t="shared" si="28"/>
        <v/>
      </c>
      <c r="X265" s="47" t="str">
        <f t="shared" si="29"/>
        <v/>
      </c>
      <c r="Y265" s="47" t="str">
        <f t="shared" si="30"/>
        <v/>
      </c>
      <c r="Z265" s="47">
        <f t="shared" si="22"/>
        <v>240</v>
      </c>
      <c r="AA265" s="47" t="str">
        <f t="shared" si="31"/>
        <v/>
      </c>
      <c r="AB265" s="47" t="str">
        <f t="shared" si="32"/>
        <v/>
      </c>
      <c r="AC265" s="47" t="str">
        <f t="shared" si="33"/>
        <v/>
      </c>
      <c r="AD265" s="47" t="str">
        <f t="shared" si="34"/>
        <v/>
      </c>
      <c r="AE265" s="47" t="str">
        <f t="shared" si="18"/>
        <v/>
      </c>
      <c r="AF265" s="47" t="str">
        <f t="shared" si="35"/>
        <v/>
      </c>
      <c r="AG265" s="47" t="str">
        <f t="shared" si="36"/>
        <v/>
      </c>
    </row>
    <row r="266" spans="1:33" x14ac:dyDescent="0.25">
      <c r="A266" s="36">
        <v>4</v>
      </c>
      <c r="B266" s="37" t="s">
        <v>340</v>
      </c>
      <c r="C266" s="37"/>
      <c r="D266" s="37"/>
      <c r="E266" s="37"/>
      <c r="F266" s="40"/>
      <c r="G266" s="49"/>
      <c r="H266" s="40"/>
      <c r="I266" s="40"/>
      <c r="J266" s="42">
        <v>8</v>
      </c>
      <c r="K266" s="43" t="s">
        <v>334</v>
      </c>
      <c r="L266" s="43" t="s">
        <v>352</v>
      </c>
      <c r="M266" s="62">
        <v>25</v>
      </c>
      <c r="N266" s="45">
        <v>1</v>
      </c>
      <c r="O266" s="45">
        <v>200</v>
      </c>
      <c r="P266" s="45">
        <f t="shared" si="23"/>
        <v>200</v>
      </c>
      <c r="Q266" s="46"/>
      <c r="R266" s="46"/>
      <c r="S266" s="47" t="str">
        <f t="shared" si="24"/>
        <v/>
      </c>
      <c r="T266" s="47" t="str">
        <f t="shared" si="25"/>
        <v/>
      </c>
      <c r="U266" s="47" t="str">
        <f t="shared" si="26"/>
        <v/>
      </c>
      <c r="V266" s="47">
        <f t="shared" si="27"/>
        <v>200</v>
      </c>
      <c r="W266" s="47" t="str">
        <f t="shared" si="28"/>
        <v/>
      </c>
      <c r="X266" s="47" t="str">
        <f t="shared" si="29"/>
        <v/>
      </c>
      <c r="Y266" s="47" t="str">
        <f t="shared" si="30"/>
        <v/>
      </c>
      <c r="Z266" s="47">
        <f t="shared" si="22"/>
        <v>200</v>
      </c>
      <c r="AA266" s="47" t="str">
        <f t="shared" si="31"/>
        <v/>
      </c>
      <c r="AB266" s="47" t="str">
        <f t="shared" si="32"/>
        <v/>
      </c>
      <c r="AC266" s="47" t="str">
        <f t="shared" si="33"/>
        <v/>
      </c>
      <c r="AD266" s="47" t="str">
        <f t="shared" si="34"/>
        <v/>
      </c>
      <c r="AE266" s="47" t="str">
        <f t="shared" si="18"/>
        <v/>
      </c>
      <c r="AF266" s="47" t="str">
        <f t="shared" si="35"/>
        <v/>
      </c>
      <c r="AG266" s="47" t="str">
        <f t="shared" si="36"/>
        <v/>
      </c>
    </row>
    <row r="267" spans="1:33" x14ac:dyDescent="0.25">
      <c r="A267" s="36">
        <v>4</v>
      </c>
      <c r="B267" s="37" t="s">
        <v>340</v>
      </c>
      <c r="C267" s="37"/>
      <c r="D267" s="37"/>
      <c r="E267" s="37"/>
      <c r="F267" s="40"/>
      <c r="G267" s="49"/>
      <c r="H267" s="40"/>
      <c r="I267" s="40"/>
      <c r="J267" s="42">
        <v>3</v>
      </c>
      <c r="K267" s="43" t="s">
        <v>334</v>
      </c>
      <c r="L267" s="43" t="s">
        <v>353</v>
      </c>
      <c r="M267" s="62">
        <v>70</v>
      </c>
      <c r="N267" s="45">
        <v>1</v>
      </c>
      <c r="O267" s="45">
        <v>210</v>
      </c>
      <c r="P267" s="45">
        <f t="shared" si="23"/>
        <v>210</v>
      </c>
      <c r="Q267" s="46"/>
      <c r="R267" s="46"/>
      <c r="S267" s="47" t="str">
        <f t="shared" si="24"/>
        <v/>
      </c>
      <c r="T267" s="47" t="str">
        <f t="shared" si="25"/>
        <v/>
      </c>
      <c r="U267" s="47" t="str">
        <f t="shared" si="26"/>
        <v/>
      </c>
      <c r="V267" s="47">
        <f t="shared" si="27"/>
        <v>210</v>
      </c>
      <c r="W267" s="47" t="str">
        <f t="shared" si="28"/>
        <v/>
      </c>
      <c r="X267" s="47" t="str">
        <f t="shared" si="29"/>
        <v/>
      </c>
      <c r="Y267" s="47" t="str">
        <f t="shared" si="30"/>
        <v/>
      </c>
      <c r="Z267" s="47">
        <f t="shared" si="22"/>
        <v>210</v>
      </c>
      <c r="AA267" s="47" t="str">
        <f t="shared" si="31"/>
        <v/>
      </c>
      <c r="AB267" s="47" t="str">
        <f t="shared" si="32"/>
        <v/>
      </c>
      <c r="AC267" s="47" t="str">
        <f t="shared" si="33"/>
        <v/>
      </c>
      <c r="AD267" s="47" t="str">
        <f t="shared" si="34"/>
        <v/>
      </c>
      <c r="AE267" s="47" t="str">
        <f t="shared" si="18"/>
        <v/>
      </c>
      <c r="AF267" s="47" t="str">
        <f t="shared" si="35"/>
        <v/>
      </c>
      <c r="AG267" s="47" t="str">
        <f t="shared" si="36"/>
        <v/>
      </c>
    </row>
    <row r="268" spans="1:33" x14ac:dyDescent="0.25">
      <c r="A268" s="36">
        <v>4</v>
      </c>
      <c r="B268" s="37" t="s">
        <v>340</v>
      </c>
      <c r="C268" s="37"/>
      <c r="D268" s="37"/>
      <c r="E268" s="37"/>
      <c r="F268" s="40"/>
      <c r="G268" s="49"/>
      <c r="H268" s="40"/>
      <c r="I268" s="40"/>
      <c r="J268" s="42">
        <v>3</v>
      </c>
      <c r="K268" s="43" t="s">
        <v>334</v>
      </c>
      <c r="L268" s="43" t="s">
        <v>354</v>
      </c>
      <c r="M268" s="62">
        <v>59</v>
      </c>
      <c r="N268" s="45">
        <v>1</v>
      </c>
      <c r="O268" s="45">
        <v>177</v>
      </c>
      <c r="P268" s="45">
        <f t="shared" si="23"/>
        <v>177</v>
      </c>
      <c r="Q268" s="46"/>
      <c r="R268" s="46"/>
      <c r="S268" s="47" t="str">
        <f t="shared" si="24"/>
        <v/>
      </c>
      <c r="T268" s="47" t="str">
        <f t="shared" si="25"/>
        <v/>
      </c>
      <c r="U268" s="47" t="str">
        <f t="shared" si="26"/>
        <v/>
      </c>
      <c r="V268" s="47">
        <f t="shared" si="27"/>
        <v>177</v>
      </c>
      <c r="W268" s="47" t="str">
        <f t="shared" si="28"/>
        <v/>
      </c>
      <c r="X268" s="47" t="str">
        <f t="shared" si="29"/>
        <v/>
      </c>
      <c r="Y268" s="47" t="str">
        <f t="shared" si="30"/>
        <v/>
      </c>
      <c r="Z268" s="47">
        <f t="shared" si="22"/>
        <v>177</v>
      </c>
      <c r="AA268" s="47" t="str">
        <f t="shared" si="31"/>
        <v/>
      </c>
      <c r="AB268" s="47" t="str">
        <f t="shared" si="32"/>
        <v/>
      </c>
      <c r="AC268" s="47" t="str">
        <f t="shared" si="33"/>
        <v/>
      </c>
      <c r="AD268" s="47" t="str">
        <f t="shared" si="34"/>
        <v/>
      </c>
      <c r="AE268" s="47" t="str">
        <f t="shared" si="18"/>
        <v/>
      </c>
      <c r="AF268" s="47" t="str">
        <f t="shared" si="35"/>
        <v/>
      </c>
      <c r="AG268" s="47" t="str">
        <f t="shared" si="36"/>
        <v/>
      </c>
    </row>
    <row r="269" spans="1:33" x14ac:dyDescent="0.25">
      <c r="A269" s="36">
        <v>4</v>
      </c>
      <c r="B269" s="37" t="s">
        <v>340</v>
      </c>
      <c r="C269" s="37"/>
      <c r="D269" s="37"/>
      <c r="E269" s="37"/>
      <c r="F269" s="40"/>
      <c r="G269" s="49"/>
      <c r="H269" s="40"/>
      <c r="I269" s="40"/>
      <c r="J269" s="42">
        <v>3</v>
      </c>
      <c r="K269" s="43" t="s">
        <v>334</v>
      </c>
      <c r="L269" s="43" t="s">
        <v>355</v>
      </c>
      <c r="M269" s="62">
        <v>121</v>
      </c>
      <c r="N269" s="45">
        <v>2</v>
      </c>
      <c r="O269" s="45">
        <v>363</v>
      </c>
      <c r="P269" s="45">
        <f t="shared" si="23"/>
        <v>363</v>
      </c>
      <c r="Q269" s="46"/>
      <c r="R269" s="46"/>
      <c r="S269" s="47" t="str">
        <f t="shared" si="24"/>
        <v/>
      </c>
      <c r="T269" s="47" t="str">
        <f t="shared" si="25"/>
        <v/>
      </c>
      <c r="U269" s="47" t="str">
        <f t="shared" si="26"/>
        <v/>
      </c>
      <c r="V269" s="47">
        <f t="shared" si="27"/>
        <v>363</v>
      </c>
      <c r="W269" s="47" t="str">
        <f t="shared" si="28"/>
        <v/>
      </c>
      <c r="X269" s="47" t="str">
        <f t="shared" si="29"/>
        <v/>
      </c>
      <c r="Y269" s="47" t="str">
        <f t="shared" si="30"/>
        <v/>
      </c>
      <c r="Z269" s="47" t="str">
        <f t="shared" si="22"/>
        <v/>
      </c>
      <c r="AA269" s="47">
        <f t="shared" si="31"/>
        <v>363</v>
      </c>
      <c r="AB269" s="47" t="str">
        <f t="shared" si="32"/>
        <v/>
      </c>
      <c r="AC269" s="47" t="str">
        <f t="shared" si="33"/>
        <v/>
      </c>
      <c r="AD269" s="47" t="str">
        <f t="shared" si="34"/>
        <v/>
      </c>
      <c r="AE269" s="47" t="str">
        <f t="shared" si="18"/>
        <v/>
      </c>
      <c r="AF269" s="47" t="str">
        <f t="shared" si="35"/>
        <v/>
      </c>
      <c r="AG269" s="47" t="str">
        <f t="shared" si="36"/>
        <v/>
      </c>
    </row>
    <row r="270" spans="1:33" x14ac:dyDescent="0.25">
      <c r="A270" s="36">
        <v>4</v>
      </c>
      <c r="B270" s="37" t="s">
        <v>340</v>
      </c>
      <c r="C270" s="37"/>
      <c r="D270" s="37"/>
      <c r="E270" s="37"/>
      <c r="F270" s="40"/>
      <c r="G270" s="49"/>
      <c r="H270" s="40"/>
      <c r="I270" s="40"/>
      <c r="J270" s="42">
        <v>5</v>
      </c>
      <c r="K270" s="43" t="s">
        <v>46</v>
      </c>
      <c r="L270" s="43" t="s">
        <v>356</v>
      </c>
      <c r="M270" s="62">
        <v>30</v>
      </c>
      <c r="N270" s="45">
        <v>3</v>
      </c>
      <c r="O270" s="45">
        <v>150</v>
      </c>
      <c r="P270" s="45">
        <f t="shared" si="23"/>
        <v>150</v>
      </c>
      <c r="Q270" s="46"/>
      <c r="R270" s="46"/>
      <c r="S270" s="47" t="str">
        <f t="shared" si="24"/>
        <v/>
      </c>
      <c r="T270" s="47" t="str">
        <f t="shared" si="25"/>
        <v/>
      </c>
      <c r="U270" s="47" t="str">
        <f t="shared" si="26"/>
        <v/>
      </c>
      <c r="V270" s="47">
        <f t="shared" si="27"/>
        <v>150</v>
      </c>
      <c r="W270" s="47" t="str">
        <f t="shared" si="28"/>
        <v/>
      </c>
      <c r="X270" s="47" t="str">
        <f t="shared" si="29"/>
        <v/>
      </c>
      <c r="Y270" s="47" t="str">
        <f t="shared" si="30"/>
        <v/>
      </c>
      <c r="Z270" s="47" t="str">
        <f t="shared" si="22"/>
        <v/>
      </c>
      <c r="AA270" s="47" t="str">
        <f t="shared" si="31"/>
        <v/>
      </c>
      <c r="AB270" s="47">
        <f t="shared" si="32"/>
        <v>150</v>
      </c>
      <c r="AC270" s="47" t="str">
        <f t="shared" si="33"/>
        <v/>
      </c>
      <c r="AD270" s="47" t="str">
        <f t="shared" si="34"/>
        <v/>
      </c>
      <c r="AE270" s="47" t="str">
        <f t="shared" si="18"/>
        <v/>
      </c>
      <c r="AF270" s="47" t="str">
        <f t="shared" si="35"/>
        <v/>
      </c>
      <c r="AG270" s="47" t="str">
        <f t="shared" si="36"/>
        <v/>
      </c>
    </row>
    <row r="271" spans="1:33" x14ac:dyDescent="0.25">
      <c r="A271" s="36">
        <v>4</v>
      </c>
      <c r="B271" s="37" t="s">
        <v>340</v>
      </c>
      <c r="C271" s="37"/>
      <c r="D271" s="37"/>
      <c r="E271" s="37"/>
      <c r="F271" s="40"/>
      <c r="G271" s="49"/>
      <c r="H271" s="40"/>
      <c r="I271" s="40"/>
      <c r="J271" s="42">
        <v>2</v>
      </c>
      <c r="K271" s="43" t="s">
        <v>46</v>
      </c>
      <c r="L271" s="43" t="s">
        <v>357</v>
      </c>
      <c r="M271" s="62">
        <v>40</v>
      </c>
      <c r="N271" s="45">
        <v>3</v>
      </c>
      <c r="O271" s="45">
        <v>80</v>
      </c>
      <c r="P271" s="45">
        <f t="shared" si="23"/>
        <v>80</v>
      </c>
      <c r="Q271" s="46"/>
      <c r="R271" s="46"/>
      <c r="S271" s="47" t="str">
        <f t="shared" si="24"/>
        <v/>
      </c>
      <c r="T271" s="47" t="str">
        <f t="shared" si="25"/>
        <v/>
      </c>
      <c r="U271" s="47" t="str">
        <f t="shared" si="26"/>
        <v/>
      </c>
      <c r="V271" s="47">
        <f t="shared" si="27"/>
        <v>80</v>
      </c>
      <c r="W271" s="47" t="str">
        <f t="shared" si="28"/>
        <v/>
      </c>
      <c r="X271" s="47" t="str">
        <f t="shared" si="29"/>
        <v/>
      </c>
      <c r="Y271" s="47" t="str">
        <f t="shared" si="30"/>
        <v/>
      </c>
      <c r="Z271" s="47" t="str">
        <f t="shared" si="22"/>
        <v/>
      </c>
      <c r="AA271" s="47" t="str">
        <f t="shared" si="31"/>
        <v/>
      </c>
      <c r="AB271" s="47">
        <f t="shared" si="32"/>
        <v>80</v>
      </c>
      <c r="AC271" s="47" t="str">
        <f t="shared" si="33"/>
        <v/>
      </c>
      <c r="AD271" s="47" t="str">
        <f t="shared" si="34"/>
        <v/>
      </c>
      <c r="AE271" s="47" t="str">
        <f t="shared" si="18"/>
        <v/>
      </c>
      <c r="AF271" s="47" t="str">
        <f t="shared" si="35"/>
        <v/>
      </c>
      <c r="AG271" s="47" t="str">
        <f t="shared" si="36"/>
        <v/>
      </c>
    </row>
    <row r="272" spans="1:33" x14ac:dyDescent="0.25">
      <c r="A272" s="36">
        <v>4</v>
      </c>
      <c r="B272" s="37" t="s">
        <v>340</v>
      </c>
      <c r="C272" s="37"/>
      <c r="D272" s="37"/>
      <c r="E272" s="37"/>
      <c r="F272" s="40"/>
      <c r="G272" s="49"/>
      <c r="H272" s="40"/>
      <c r="I272" s="40"/>
      <c r="J272" s="42">
        <v>4</v>
      </c>
      <c r="K272" s="43" t="s">
        <v>56</v>
      </c>
      <c r="L272" s="43" t="s">
        <v>358</v>
      </c>
      <c r="M272" s="62">
        <v>59</v>
      </c>
      <c r="N272" s="45">
        <v>3</v>
      </c>
      <c r="O272" s="45">
        <v>236</v>
      </c>
      <c r="P272" s="45">
        <f t="shared" si="23"/>
        <v>236</v>
      </c>
      <c r="Q272" s="46"/>
      <c r="R272" s="46"/>
      <c r="S272" s="47" t="str">
        <f t="shared" si="24"/>
        <v/>
      </c>
      <c r="T272" s="47" t="str">
        <f t="shared" si="25"/>
        <v/>
      </c>
      <c r="U272" s="47" t="str">
        <f t="shared" si="26"/>
        <v/>
      </c>
      <c r="V272" s="47">
        <f t="shared" si="27"/>
        <v>236</v>
      </c>
      <c r="W272" s="47" t="str">
        <f t="shared" si="28"/>
        <v/>
      </c>
      <c r="X272" s="47" t="str">
        <f t="shared" si="29"/>
        <v/>
      </c>
      <c r="Y272" s="47" t="str">
        <f t="shared" si="30"/>
        <v/>
      </c>
      <c r="Z272" s="47" t="str">
        <f t="shared" si="22"/>
        <v/>
      </c>
      <c r="AA272" s="47" t="str">
        <f t="shared" si="31"/>
        <v/>
      </c>
      <c r="AB272" s="47">
        <f t="shared" si="32"/>
        <v>236</v>
      </c>
      <c r="AC272" s="47" t="str">
        <f t="shared" si="33"/>
        <v/>
      </c>
      <c r="AD272" s="47" t="str">
        <f t="shared" si="34"/>
        <v/>
      </c>
      <c r="AE272" s="47" t="str">
        <f t="shared" si="18"/>
        <v/>
      </c>
      <c r="AF272" s="47" t="str">
        <f t="shared" si="35"/>
        <v/>
      </c>
      <c r="AG272" s="47" t="str">
        <f t="shared" si="36"/>
        <v/>
      </c>
    </row>
    <row r="273" spans="1:33" x14ac:dyDescent="0.25">
      <c r="A273" s="36">
        <v>4</v>
      </c>
      <c r="B273" s="37" t="s">
        <v>340</v>
      </c>
      <c r="C273" s="37"/>
      <c r="D273" s="37"/>
      <c r="E273" s="37"/>
      <c r="F273" s="40"/>
      <c r="G273" s="49"/>
      <c r="H273" s="40"/>
      <c r="I273" s="40"/>
      <c r="J273" s="42">
        <v>1</v>
      </c>
      <c r="K273" s="43" t="s">
        <v>82</v>
      </c>
      <c r="L273" s="43" t="s">
        <v>359</v>
      </c>
      <c r="M273" s="62">
        <v>54</v>
      </c>
      <c r="N273" s="45">
        <v>3</v>
      </c>
      <c r="O273" s="45">
        <v>54</v>
      </c>
      <c r="P273" s="45">
        <f t="shared" si="23"/>
        <v>54</v>
      </c>
      <c r="Q273" s="46"/>
      <c r="R273" s="46"/>
      <c r="S273" s="47" t="str">
        <f t="shared" si="24"/>
        <v/>
      </c>
      <c r="T273" s="47" t="str">
        <f t="shared" si="25"/>
        <v/>
      </c>
      <c r="U273" s="47" t="str">
        <f t="shared" si="26"/>
        <v/>
      </c>
      <c r="V273" s="47">
        <f t="shared" si="27"/>
        <v>54</v>
      </c>
      <c r="W273" s="47" t="str">
        <f t="shared" si="28"/>
        <v/>
      </c>
      <c r="X273" s="47" t="str">
        <f t="shared" si="29"/>
        <v/>
      </c>
      <c r="Y273" s="47" t="str">
        <f t="shared" si="30"/>
        <v/>
      </c>
      <c r="Z273" s="47" t="str">
        <f t="shared" si="22"/>
        <v/>
      </c>
      <c r="AA273" s="47" t="str">
        <f t="shared" si="31"/>
        <v/>
      </c>
      <c r="AB273" s="47">
        <f t="shared" si="32"/>
        <v>54</v>
      </c>
      <c r="AC273" s="47" t="str">
        <f t="shared" si="33"/>
        <v/>
      </c>
      <c r="AD273" s="47" t="str">
        <f t="shared" si="34"/>
        <v/>
      </c>
      <c r="AE273" s="47" t="str">
        <f t="shared" si="18"/>
        <v/>
      </c>
      <c r="AF273" s="47" t="str">
        <f t="shared" si="35"/>
        <v/>
      </c>
      <c r="AG273" s="47" t="str">
        <f t="shared" si="36"/>
        <v/>
      </c>
    </row>
    <row r="274" spans="1:33" x14ac:dyDescent="0.25">
      <c r="A274" s="36">
        <v>4</v>
      </c>
      <c r="B274" s="37" t="s">
        <v>340</v>
      </c>
      <c r="C274" s="37"/>
      <c r="D274" s="37"/>
      <c r="E274" s="37"/>
      <c r="F274" s="40"/>
      <c r="G274" s="49"/>
      <c r="H274" s="40"/>
      <c r="I274" s="40"/>
      <c r="J274" s="42">
        <v>2</v>
      </c>
      <c r="K274" s="43" t="s">
        <v>56</v>
      </c>
      <c r="L274" s="43" t="s">
        <v>360</v>
      </c>
      <c r="M274" s="62">
        <v>18</v>
      </c>
      <c r="N274" s="45">
        <v>3</v>
      </c>
      <c r="O274" s="45">
        <v>36</v>
      </c>
      <c r="P274" s="45">
        <f t="shared" si="23"/>
        <v>36</v>
      </c>
      <c r="Q274" s="46"/>
      <c r="R274" s="46"/>
      <c r="S274" s="47" t="str">
        <f t="shared" si="24"/>
        <v/>
      </c>
      <c r="T274" s="47" t="str">
        <f t="shared" si="25"/>
        <v/>
      </c>
      <c r="U274" s="47" t="str">
        <f t="shared" si="26"/>
        <v/>
      </c>
      <c r="V274" s="47">
        <f t="shared" si="27"/>
        <v>36</v>
      </c>
      <c r="W274" s="47" t="str">
        <f t="shared" si="28"/>
        <v/>
      </c>
      <c r="X274" s="47" t="str">
        <f t="shared" si="29"/>
        <v/>
      </c>
      <c r="Y274" s="47" t="str">
        <f t="shared" si="30"/>
        <v/>
      </c>
      <c r="Z274" s="47" t="str">
        <f t="shared" si="22"/>
        <v/>
      </c>
      <c r="AA274" s="47" t="str">
        <f t="shared" si="31"/>
        <v/>
      </c>
      <c r="AB274" s="47">
        <f t="shared" si="32"/>
        <v>36</v>
      </c>
      <c r="AC274" s="47" t="str">
        <f t="shared" si="33"/>
        <v/>
      </c>
      <c r="AD274" s="47" t="str">
        <f t="shared" si="34"/>
        <v/>
      </c>
      <c r="AE274" s="47" t="str">
        <f t="shared" si="18"/>
        <v/>
      </c>
      <c r="AF274" s="47" t="str">
        <f t="shared" si="35"/>
        <v/>
      </c>
      <c r="AG274" s="47" t="str">
        <f t="shared" si="36"/>
        <v/>
      </c>
    </row>
    <row r="275" spans="1:33" x14ac:dyDescent="0.25">
      <c r="A275" s="36">
        <v>4</v>
      </c>
      <c r="B275" s="37" t="s">
        <v>361</v>
      </c>
      <c r="C275" s="37"/>
      <c r="D275" s="37"/>
      <c r="E275" s="37"/>
      <c r="F275" s="40"/>
      <c r="G275" s="51">
        <v>45688</v>
      </c>
      <c r="H275" s="40"/>
      <c r="I275" s="40"/>
      <c r="J275" s="42">
        <v>4</v>
      </c>
      <c r="K275" s="43" t="s">
        <v>46</v>
      </c>
      <c r="L275" s="43" t="s">
        <v>362</v>
      </c>
      <c r="M275" s="62">
        <v>62</v>
      </c>
      <c r="N275" s="45">
        <v>1</v>
      </c>
      <c r="O275" s="45">
        <v>248</v>
      </c>
      <c r="P275" s="45">
        <f t="shared" si="23"/>
        <v>248</v>
      </c>
      <c r="Q275" s="46"/>
      <c r="R275" s="46"/>
      <c r="S275" s="47" t="str">
        <f t="shared" si="24"/>
        <v/>
      </c>
      <c r="T275" s="47" t="str">
        <f t="shared" si="25"/>
        <v/>
      </c>
      <c r="U275" s="47" t="str">
        <f t="shared" si="26"/>
        <v/>
      </c>
      <c r="V275" s="47">
        <f t="shared" si="27"/>
        <v>248</v>
      </c>
      <c r="W275" s="47" t="str">
        <f t="shared" si="28"/>
        <v/>
      </c>
      <c r="X275" s="47" t="str">
        <f t="shared" si="29"/>
        <v/>
      </c>
      <c r="Y275" s="47" t="str">
        <f t="shared" si="30"/>
        <v/>
      </c>
      <c r="Z275" s="47">
        <f t="shared" si="22"/>
        <v>248</v>
      </c>
      <c r="AA275" s="47" t="str">
        <f t="shared" si="31"/>
        <v/>
      </c>
      <c r="AB275" s="47" t="str">
        <f t="shared" si="32"/>
        <v/>
      </c>
      <c r="AC275" s="47" t="str">
        <f t="shared" si="33"/>
        <v/>
      </c>
      <c r="AD275" s="47" t="str">
        <f t="shared" si="34"/>
        <v/>
      </c>
      <c r="AE275" s="47" t="str">
        <f t="shared" si="18"/>
        <v/>
      </c>
      <c r="AF275" s="47" t="str">
        <f t="shared" si="35"/>
        <v/>
      </c>
      <c r="AG275" s="47" t="str">
        <f t="shared" si="36"/>
        <v/>
      </c>
    </row>
    <row r="276" spans="1:33" x14ac:dyDescent="0.25">
      <c r="A276" s="36">
        <v>4</v>
      </c>
      <c r="B276" s="37" t="s">
        <v>361</v>
      </c>
      <c r="C276" s="37"/>
      <c r="D276" s="37"/>
      <c r="E276" s="37"/>
      <c r="F276" s="40"/>
      <c r="G276" s="49"/>
      <c r="H276" s="40"/>
      <c r="I276" s="40"/>
      <c r="J276" s="42">
        <v>2</v>
      </c>
      <c r="K276" s="43" t="s">
        <v>46</v>
      </c>
      <c r="L276" s="43" t="s">
        <v>363</v>
      </c>
      <c r="M276" s="62">
        <v>156.52000000000001</v>
      </c>
      <c r="N276" s="45">
        <v>1</v>
      </c>
      <c r="O276" s="45">
        <v>313.04000000000002</v>
      </c>
      <c r="P276" s="45">
        <f t="shared" si="23"/>
        <v>313.04000000000002</v>
      </c>
      <c r="Q276" s="46"/>
      <c r="R276" s="46"/>
      <c r="S276" s="47" t="str">
        <f t="shared" si="24"/>
        <v/>
      </c>
      <c r="T276" s="47" t="str">
        <f t="shared" si="25"/>
        <v/>
      </c>
      <c r="U276" s="47" t="str">
        <f t="shared" si="26"/>
        <v/>
      </c>
      <c r="V276" s="47">
        <f t="shared" si="27"/>
        <v>313.04000000000002</v>
      </c>
      <c r="W276" s="47" t="str">
        <f t="shared" si="28"/>
        <v/>
      </c>
      <c r="X276" s="47" t="str">
        <f t="shared" si="29"/>
        <v/>
      </c>
      <c r="Y276" s="47" t="str">
        <f t="shared" si="30"/>
        <v/>
      </c>
      <c r="Z276" s="47">
        <f t="shared" si="22"/>
        <v>313.04000000000002</v>
      </c>
      <c r="AA276" s="47" t="str">
        <f t="shared" si="31"/>
        <v/>
      </c>
      <c r="AB276" s="47" t="str">
        <f t="shared" si="32"/>
        <v/>
      </c>
      <c r="AC276" s="47" t="str">
        <f t="shared" si="33"/>
        <v/>
      </c>
      <c r="AD276" s="47" t="str">
        <f t="shared" si="34"/>
        <v/>
      </c>
      <c r="AE276" s="47" t="str">
        <f t="shared" si="18"/>
        <v/>
      </c>
      <c r="AF276" s="47" t="str">
        <f t="shared" si="35"/>
        <v/>
      </c>
      <c r="AG276" s="47" t="str">
        <f t="shared" si="36"/>
        <v/>
      </c>
    </row>
    <row r="277" spans="1:33" x14ac:dyDescent="0.25">
      <c r="A277" s="36"/>
      <c r="J277" s="67"/>
      <c r="M277" s="68"/>
      <c r="N277" s="69"/>
      <c r="O277" s="69"/>
      <c r="S277" s="70"/>
      <c r="T277" s="70"/>
      <c r="U277" s="70"/>
      <c r="V277" s="70"/>
      <c r="W277" s="70"/>
      <c r="X277" s="70"/>
      <c r="Y277" s="70"/>
    </row>
    <row r="278" spans="1:33" x14ac:dyDescent="0.25">
      <c r="A278" s="36"/>
      <c r="J278" s="67"/>
      <c r="M278" s="68"/>
      <c r="N278" s="69"/>
      <c r="O278" s="69"/>
      <c r="S278" s="70"/>
      <c r="T278" s="70"/>
      <c r="U278" s="70"/>
      <c r="V278" s="70"/>
      <c r="W278" s="70"/>
      <c r="X278" s="70"/>
      <c r="Y278" s="70"/>
    </row>
    <row r="279" spans="1:33" x14ac:dyDescent="0.25">
      <c r="A279" s="36"/>
      <c r="J279" s="67"/>
      <c r="M279" s="68"/>
      <c r="N279" s="69"/>
      <c r="O279" s="69"/>
      <c r="S279" s="70"/>
      <c r="T279" s="70"/>
      <c r="U279" s="70"/>
      <c r="V279" s="70"/>
      <c r="W279" s="70"/>
      <c r="X279" s="70"/>
      <c r="Y279" s="70"/>
    </row>
    <row r="280" spans="1:33" x14ac:dyDescent="0.25">
      <c r="A280" s="36"/>
      <c r="J280" s="67"/>
      <c r="M280" s="68"/>
      <c r="N280" s="69"/>
      <c r="O280" s="69"/>
      <c r="S280" s="70"/>
      <c r="T280" s="70"/>
      <c r="U280" s="70"/>
      <c r="V280" s="70"/>
      <c r="W280" s="70"/>
      <c r="X280" s="70"/>
      <c r="Y280" s="70"/>
    </row>
    <row r="281" spans="1:33" x14ac:dyDescent="0.25">
      <c r="A281" s="36"/>
      <c r="J281" s="67"/>
      <c r="M281" s="68"/>
      <c r="N281" s="69"/>
      <c r="O281" s="69"/>
      <c r="S281" s="70"/>
      <c r="T281" s="70"/>
      <c r="U281" s="70"/>
      <c r="V281" s="70"/>
      <c r="W281" s="70"/>
      <c r="X281" s="70"/>
      <c r="Y281" s="70"/>
    </row>
    <row r="282" spans="1:33" x14ac:dyDescent="0.25">
      <c r="A282" s="36"/>
      <c r="J282" s="67"/>
      <c r="M282" s="68"/>
      <c r="N282" s="69"/>
      <c r="O282" s="69"/>
      <c r="S282" s="70"/>
      <c r="T282" s="70"/>
      <c r="U282" s="70"/>
      <c r="V282" s="70"/>
      <c r="W282" s="70"/>
      <c r="X282" s="70"/>
      <c r="Y282" s="70"/>
    </row>
    <row r="283" spans="1:33" x14ac:dyDescent="0.25">
      <c r="A283" s="36"/>
      <c r="J283" s="67"/>
      <c r="M283" s="68"/>
      <c r="N283" s="69"/>
      <c r="O283" s="69"/>
      <c r="S283" s="70"/>
      <c r="T283" s="70"/>
      <c r="U283" s="70"/>
      <c r="V283" s="70"/>
      <c r="W283" s="70"/>
      <c r="X283" s="70"/>
      <c r="Y283" s="70"/>
    </row>
    <row r="284" spans="1:33" x14ac:dyDescent="0.25">
      <c r="A284" s="36"/>
      <c r="J284" s="67"/>
      <c r="M284" s="68"/>
      <c r="N284" s="69"/>
      <c r="O284" s="69"/>
      <c r="S284" s="70"/>
      <c r="T284" s="70"/>
      <c r="U284" s="70"/>
      <c r="V284" s="70"/>
      <c r="W284" s="70"/>
      <c r="X284" s="70"/>
      <c r="Y284" s="70"/>
    </row>
    <row r="285" spans="1:33" x14ac:dyDescent="0.25">
      <c r="A285" s="36"/>
      <c r="J285" s="67"/>
      <c r="M285" s="68"/>
      <c r="N285" s="69"/>
      <c r="O285" s="69"/>
      <c r="S285" s="70"/>
      <c r="T285" s="70"/>
      <c r="U285" s="70"/>
      <c r="V285" s="70"/>
      <c r="W285" s="70"/>
      <c r="X285" s="70"/>
      <c r="Y285" s="70"/>
    </row>
    <row r="286" spans="1:33" x14ac:dyDescent="0.25">
      <c r="A286" s="36"/>
      <c r="J286" s="67"/>
      <c r="M286" s="68"/>
      <c r="N286" s="69"/>
      <c r="O286" s="69"/>
      <c r="S286" s="70"/>
      <c r="T286" s="70"/>
      <c r="U286" s="70"/>
      <c r="V286" s="70"/>
      <c r="W286" s="70"/>
      <c r="X286" s="70"/>
      <c r="Y286" s="70"/>
    </row>
    <row r="287" spans="1:33" x14ac:dyDescent="0.25">
      <c r="A287" s="36"/>
      <c r="J287" s="67"/>
      <c r="M287" s="68"/>
      <c r="N287" s="69"/>
      <c r="O287" s="69"/>
      <c r="S287" s="70"/>
      <c r="T287" s="70"/>
      <c r="U287" s="70"/>
      <c r="V287" s="70"/>
      <c r="W287" s="70"/>
      <c r="X287" s="70"/>
      <c r="Y287" s="70"/>
    </row>
    <row r="288" spans="1:33" x14ac:dyDescent="0.25">
      <c r="A288" s="36"/>
      <c r="J288" s="67"/>
      <c r="M288" s="68"/>
      <c r="N288" s="69"/>
      <c r="O288" s="69"/>
      <c r="S288" s="70"/>
      <c r="T288" s="70"/>
      <c r="U288" s="70"/>
      <c r="V288" s="70"/>
      <c r="W288" s="70"/>
      <c r="X288" s="70"/>
      <c r="Y288" s="70"/>
    </row>
    <row r="289" spans="1:25" x14ac:dyDescent="0.25">
      <c r="A289" s="36"/>
      <c r="J289" s="67"/>
      <c r="M289" s="68"/>
      <c r="N289" s="69"/>
      <c r="O289" s="69"/>
      <c r="S289" s="70"/>
      <c r="T289" s="70"/>
      <c r="U289" s="70"/>
      <c r="V289" s="70"/>
      <c r="W289" s="70"/>
      <c r="X289" s="70"/>
      <c r="Y289" s="70"/>
    </row>
    <row r="290" spans="1:25" x14ac:dyDescent="0.25">
      <c r="A290" s="36"/>
      <c r="J290" s="67"/>
      <c r="M290" s="68"/>
      <c r="N290" s="69"/>
      <c r="O290" s="69"/>
      <c r="S290" s="70"/>
      <c r="T290" s="70"/>
      <c r="U290" s="70"/>
      <c r="V290" s="70"/>
      <c r="W290" s="70"/>
      <c r="X290" s="70"/>
      <c r="Y290" s="70"/>
    </row>
    <row r="291" spans="1:25" x14ac:dyDescent="0.25">
      <c r="A291" s="36"/>
      <c r="J291" s="67"/>
      <c r="M291" s="68"/>
      <c r="N291" s="69"/>
      <c r="O291" s="69"/>
      <c r="S291" s="70"/>
      <c r="T291" s="70"/>
      <c r="U291" s="70"/>
      <c r="V291" s="70"/>
      <c r="W291" s="70"/>
      <c r="X291" s="70"/>
      <c r="Y291" s="70"/>
    </row>
    <row r="292" spans="1:25" x14ac:dyDescent="0.25">
      <c r="A292" s="36"/>
      <c r="J292" s="67"/>
      <c r="M292" s="68"/>
      <c r="N292" s="69"/>
      <c r="O292" s="69"/>
      <c r="S292" s="70"/>
      <c r="T292" s="70"/>
      <c r="U292" s="70"/>
      <c r="V292" s="70"/>
      <c r="W292" s="70"/>
      <c r="X292" s="70"/>
      <c r="Y292" s="70"/>
    </row>
    <row r="293" spans="1:25" x14ac:dyDescent="0.25">
      <c r="A293" s="36"/>
      <c r="J293" s="67"/>
      <c r="M293" s="68"/>
      <c r="N293" s="69"/>
      <c r="O293" s="69"/>
      <c r="S293" s="70"/>
      <c r="T293" s="70"/>
      <c r="U293" s="70"/>
      <c r="V293" s="70"/>
      <c r="W293" s="70"/>
      <c r="X293" s="70"/>
      <c r="Y293" s="70"/>
    </row>
    <row r="294" spans="1:25" x14ac:dyDescent="0.25">
      <c r="A294" s="36"/>
      <c r="J294" s="67"/>
      <c r="M294" s="68"/>
      <c r="N294" s="69"/>
      <c r="O294" s="69"/>
      <c r="S294" s="70"/>
      <c r="T294" s="70"/>
      <c r="U294" s="70"/>
      <c r="V294" s="70"/>
      <c r="W294" s="70"/>
      <c r="X294" s="70"/>
      <c r="Y294" s="70"/>
    </row>
    <row r="295" spans="1:25" x14ac:dyDescent="0.25">
      <c r="A295" s="36"/>
      <c r="J295" s="67"/>
      <c r="M295" s="68"/>
      <c r="N295" s="69"/>
      <c r="O295" s="69"/>
      <c r="S295" s="70"/>
      <c r="T295" s="70"/>
      <c r="U295" s="70"/>
      <c r="V295" s="70"/>
      <c r="W295" s="70"/>
      <c r="X295" s="70"/>
      <c r="Y295" s="70"/>
    </row>
    <row r="296" spans="1:25" x14ac:dyDescent="0.25">
      <c r="A296" s="36"/>
      <c r="J296" s="67"/>
      <c r="M296" s="68"/>
      <c r="N296" s="69"/>
      <c r="O296" s="69"/>
      <c r="S296" s="70"/>
      <c r="T296" s="70"/>
      <c r="U296" s="70"/>
      <c r="V296" s="70"/>
      <c r="W296" s="70"/>
      <c r="X296" s="70"/>
      <c r="Y296" s="70"/>
    </row>
    <row r="297" spans="1:25" x14ac:dyDescent="0.25">
      <c r="A297" s="36"/>
      <c r="J297" s="67"/>
      <c r="M297" s="68"/>
      <c r="N297" s="69"/>
      <c r="O297" s="69"/>
      <c r="S297" s="70"/>
      <c r="T297" s="70"/>
      <c r="U297" s="70"/>
      <c r="V297" s="70"/>
      <c r="W297" s="70"/>
      <c r="X297" s="70"/>
      <c r="Y297" s="70"/>
    </row>
    <row r="298" spans="1:25" x14ac:dyDescent="0.25">
      <c r="A298" s="36"/>
      <c r="J298" s="67"/>
      <c r="M298" s="68"/>
      <c r="N298" s="69"/>
      <c r="O298" s="69"/>
      <c r="S298" s="70"/>
      <c r="T298" s="70"/>
      <c r="U298" s="70"/>
      <c r="V298" s="70"/>
      <c r="W298" s="70"/>
      <c r="X298" s="70"/>
      <c r="Y298" s="70"/>
    </row>
    <row r="299" spans="1:25" x14ac:dyDescent="0.25">
      <c r="A299" s="36"/>
      <c r="J299" s="67"/>
      <c r="M299" s="68"/>
      <c r="N299" s="69"/>
      <c r="O299" s="69"/>
      <c r="S299" s="70"/>
      <c r="T299" s="70"/>
      <c r="U299" s="70"/>
      <c r="V299" s="70"/>
      <c r="W299" s="70"/>
      <c r="X299" s="70"/>
      <c r="Y299" s="70"/>
    </row>
    <row r="300" spans="1:25" x14ac:dyDescent="0.25">
      <c r="A300" s="36"/>
      <c r="J300" s="67"/>
      <c r="M300" s="68"/>
      <c r="N300" s="69"/>
      <c r="O300" s="69"/>
      <c r="S300" s="70"/>
      <c r="T300" s="70"/>
      <c r="U300" s="70"/>
      <c r="V300" s="70"/>
      <c r="W300" s="70"/>
      <c r="X300" s="70"/>
      <c r="Y300" s="70"/>
    </row>
    <row r="301" spans="1:25" x14ac:dyDescent="0.25">
      <c r="A301" s="36"/>
      <c r="J301" s="67"/>
      <c r="M301" s="68"/>
      <c r="N301" s="69"/>
      <c r="O301" s="69"/>
      <c r="S301" s="70"/>
      <c r="T301" s="70"/>
      <c r="U301" s="70"/>
      <c r="V301" s="70"/>
      <c r="W301" s="70"/>
      <c r="X301" s="70"/>
      <c r="Y301" s="70"/>
    </row>
    <row r="302" spans="1:25" x14ac:dyDescent="0.25">
      <c r="A302" s="36"/>
      <c r="J302" s="67"/>
      <c r="M302" s="68"/>
      <c r="N302" s="69"/>
      <c r="O302" s="69"/>
      <c r="S302" s="70"/>
      <c r="T302" s="70"/>
      <c r="U302" s="70"/>
      <c r="V302" s="70"/>
      <c r="W302" s="70"/>
      <c r="X302" s="70"/>
      <c r="Y302" s="70"/>
    </row>
    <row r="303" spans="1:25" x14ac:dyDescent="0.25">
      <c r="A303" s="36"/>
      <c r="J303" s="67"/>
      <c r="M303" s="68"/>
      <c r="N303" s="69"/>
      <c r="O303" s="69"/>
      <c r="S303" s="70"/>
      <c r="T303" s="70"/>
      <c r="U303" s="70"/>
      <c r="V303" s="70"/>
      <c r="W303" s="70"/>
      <c r="X303" s="70"/>
      <c r="Y303" s="70"/>
    </row>
    <row r="304" spans="1:25" x14ac:dyDescent="0.25">
      <c r="A304" s="36"/>
      <c r="J304" s="67"/>
      <c r="M304" s="68"/>
      <c r="N304" s="69"/>
      <c r="O304" s="69"/>
      <c r="S304" s="70"/>
      <c r="T304" s="70"/>
      <c r="U304" s="70"/>
      <c r="V304" s="70"/>
      <c r="W304" s="70"/>
      <c r="X304" s="70"/>
      <c r="Y304" s="70"/>
    </row>
    <row r="305" spans="1:25" x14ac:dyDescent="0.25">
      <c r="A305" s="36"/>
      <c r="J305" s="67"/>
      <c r="M305" s="68"/>
      <c r="N305" s="69"/>
      <c r="O305" s="69"/>
      <c r="S305" s="70"/>
      <c r="T305" s="70"/>
      <c r="U305" s="70"/>
      <c r="V305" s="70"/>
      <c r="W305" s="70"/>
      <c r="X305" s="70"/>
      <c r="Y305" s="70"/>
    </row>
    <row r="306" spans="1:25" x14ac:dyDescent="0.25">
      <c r="A306" s="36"/>
      <c r="J306" s="67"/>
      <c r="M306" s="68"/>
      <c r="N306" s="69"/>
      <c r="O306" s="69"/>
      <c r="S306" s="70"/>
      <c r="T306" s="70"/>
      <c r="U306" s="70"/>
      <c r="V306" s="70"/>
      <c r="W306" s="70"/>
      <c r="X306" s="70"/>
      <c r="Y306" s="70"/>
    </row>
    <row r="307" spans="1:25" x14ac:dyDescent="0.25">
      <c r="A307" s="36"/>
      <c r="J307" s="67"/>
      <c r="M307" s="68"/>
      <c r="N307" s="69"/>
      <c r="O307" s="69"/>
      <c r="S307" s="70"/>
      <c r="T307" s="70"/>
      <c r="U307" s="70"/>
      <c r="V307" s="70"/>
      <c r="W307" s="70"/>
      <c r="X307" s="70"/>
      <c r="Y307" s="70"/>
    </row>
    <row r="308" spans="1:25" x14ac:dyDescent="0.25">
      <c r="A308" s="36"/>
      <c r="J308" s="67"/>
      <c r="M308" s="68"/>
      <c r="N308" s="69"/>
      <c r="O308" s="69"/>
      <c r="S308" s="70"/>
      <c r="T308" s="70"/>
      <c r="U308" s="70"/>
      <c r="V308" s="70"/>
      <c r="W308" s="70"/>
      <c r="X308" s="70"/>
      <c r="Y308" s="70"/>
    </row>
    <row r="309" spans="1:25" x14ac:dyDescent="0.25">
      <c r="A309" s="36"/>
      <c r="J309" s="67"/>
      <c r="M309" s="68"/>
      <c r="N309" s="69"/>
      <c r="O309" s="69"/>
      <c r="S309" s="70"/>
      <c r="T309" s="70"/>
      <c r="U309" s="70"/>
      <c r="V309" s="70"/>
      <c r="W309" s="70"/>
      <c r="X309" s="70"/>
      <c r="Y309" s="70"/>
    </row>
    <row r="310" spans="1:25" x14ac:dyDescent="0.25">
      <c r="A310" s="36"/>
      <c r="J310" s="67"/>
      <c r="M310" s="68"/>
      <c r="N310" s="69"/>
      <c r="O310" s="69"/>
      <c r="S310" s="70"/>
      <c r="T310" s="70"/>
      <c r="U310" s="70"/>
      <c r="V310" s="70"/>
      <c r="W310" s="70"/>
      <c r="X310" s="70"/>
      <c r="Y310" s="70"/>
    </row>
    <row r="311" spans="1:25" x14ac:dyDescent="0.25">
      <c r="A311" s="36"/>
      <c r="J311" s="67"/>
      <c r="M311" s="68"/>
      <c r="N311" s="69"/>
      <c r="O311" s="69"/>
      <c r="S311" s="70"/>
      <c r="T311" s="70"/>
      <c r="U311" s="70"/>
      <c r="V311" s="70"/>
      <c r="W311" s="70"/>
      <c r="X311" s="70"/>
      <c r="Y311" s="70"/>
    </row>
    <row r="312" spans="1:25" x14ac:dyDescent="0.25">
      <c r="A312" s="36"/>
      <c r="J312" s="67"/>
      <c r="M312" s="68"/>
      <c r="N312" s="69"/>
      <c r="O312" s="69"/>
      <c r="S312" s="70"/>
      <c r="T312" s="70"/>
      <c r="U312" s="70"/>
      <c r="V312" s="70"/>
      <c r="W312" s="70"/>
      <c r="X312" s="70"/>
      <c r="Y312" s="70"/>
    </row>
    <row r="313" spans="1:25" x14ac:dyDescent="0.25">
      <c r="A313" s="36"/>
      <c r="J313" s="67"/>
      <c r="M313" s="68"/>
      <c r="N313" s="69"/>
      <c r="O313" s="69"/>
      <c r="S313" s="70"/>
      <c r="T313" s="70"/>
      <c r="U313" s="70"/>
      <c r="V313" s="70"/>
      <c r="W313" s="70"/>
      <c r="X313" s="70"/>
      <c r="Y313" s="70"/>
    </row>
    <row r="314" spans="1:25" x14ac:dyDescent="0.25">
      <c r="A314" s="36"/>
      <c r="J314" s="67"/>
      <c r="M314" s="68"/>
      <c r="N314" s="69"/>
      <c r="O314" s="69"/>
      <c r="S314" s="70"/>
      <c r="T314" s="70"/>
      <c r="U314" s="70"/>
      <c r="V314" s="70"/>
      <c r="W314" s="70"/>
      <c r="X314" s="70"/>
      <c r="Y314" s="70"/>
    </row>
    <row r="315" spans="1:25" x14ac:dyDescent="0.25">
      <c r="A315" s="36"/>
      <c r="J315" s="67"/>
      <c r="M315" s="68"/>
      <c r="N315" s="69"/>
      <c r="O315" s="69"/>
      <c r="S315" s="70"/>
      <c r="T315" s="70"/>
      <c r="U315" s="70"/>
      <c r="V315" s="70"/>
      <c r="W315" s="70"/>
      <c r="X315" s="70"/>
      <c r="Y315" s="70"/>
    </row>
    <row r="316" spans="1:25" x14ac:dyDescent="0.25">
      <c r="A316" s="36"/>
      <c r="J316" s="67"/>
      <c r="M316" s="68"/>
      <c r="N316" s="69"/>
      <c r="O316" s="69"/>
      <c r="S316" s="70"/>
      <c r="T316" s="70"/>
      <c r="U316" s="70"/>
      <c r="V316" s="70"/>
      <c r="W316" s="70"/>
      <c r="X316" s="70"/>
      <c r="Y316" s="70"/>
    </row>
    <row r="317" spans="1:25" x14ac:dyDescent="0.25">
      <c r="A317" s="36"/>
      <c r="J317" s="67"/>
      <c r="M317" s="68"/>
      <c r="N317" s="69"/>
      <c r="O317" s="69"/>
      <c r="S317" s="70"/>
      <c r="T317" s="70"/>
      <c r="U317" s="70"/>
      <c r="V317" s="70"/>
      <c r="W317" s="70"/>
      <c r="X317" s="70"/>
      <c r="Y317" s="70"/>
    </row>
    <row r="318" spans="1:25" x14ac:dyDescent="0.25">
      <c r="A318" s="36"/>
      <c r="J318" s="67"/>
      <c r="M318" s="68"/>
      <c r="N318" s="69"/>
      <c r="O318" s="69"/>
      <c r="S318" s="70"/>
      <c r="T318" s="70"/>
      <c r="U318" s="70"/>
      <c r="V318" s="70"/>
      <c r="W318" s="70"/>
      <c r="X318" s="70"/>
      <c r="Y318" s="70"/>
    </row>
    <row r="319" spans="1:25" x14ac:dyDescent="0.25">
      <c r="A319" s="36"/>
      <c r="J319" s="67"/>
      <c r="M319" s="68"/>
      <c r="N319" s="69"/>
      <c r="O319" s="69"/>
      <c r="S319" s="70"/>
      <c r="T319" s="70"/>
      <c r="U319" s="70"/>
      <c r="V319" s="70"/>
      <c r="W319" s="70"/>
      <c r="X319" s="70"/>
      <c r="Y319" s="70"/>
    </row>
    <row r="320" spans="1:25" x14ac:dyDescent="0.25">
      <c r="A320" s="36"/>
      <c r="J320" s="67"/>
      <c r="M320" s="68"/>
      <c r="N320" s="69"/>
      <c r="O320" s="69"/>
      <c r="S320" s="70"/>
      <c r="T320" s="70"/>
      <c r="U320" s="70"/>
      <c r="V320" s="70"/>
      <c r="W320" s="70"/>
      <c r="X320" s="70"/>
      <c r="Y320" s="70"/>
    </row>
    <row r="321" spans="1:25" x14ac:dyDescent="0.25">
      <c r="A321" s="36"/>
      <c r="J321" s="67"/>
      <c r="M321" s="68"/>
      <c r="N321" s="69"/>
      <c r="O321" s="69"/>
      <c r="S321" s="70"/>
      <c r="T321" s="70"/>
      <c r="U321" s="70"/>
      <c r="V321" s="70"/>
      <c r="W321" s="70"/>
      <c r="X321" s="70"/>
      <c r="Y321" s="70"/>
    </row>
    <row r="322" spans="1:25" x14ac:dyDescent="0.25">
      <c r="A322" s="36"/>
      <c r="J322" s="67"/>
      <c r="M322" s="68"/>
      <c r="N322" s="69"/>
      <c r="O322" s="69"/>
      <c r="S322" s="70"/>
      <c r="T322" s="70"/>
      <c r="U322" s="70"/>
      <c r="V322" s="70"/>
      <c r="W322" s="70"/>
      <c r="X322" s="70"/>
      <c r="Y322" s="70"/>
    </row>
    <row r="323" spans="1:25" x14ac:dyDescent="0.25">
      <c r="A323" s="36"/>
      <c r="J323" s="67"/>
      <c r="M323" s="68"/>
      <c r="N323" s="69"/>
      <c r="O323" s="69"/>
      <c r="S323" s="70"/>
      <c r="T323" s="70"/>
      <c r="U323" s="70"/>
      <c r="V323" s="70"/>
      <c r="W323" s="70"/>
      <c r="X323" s="70"/>
      <c r="Y323" s="70"/>
    </row>
    <row r="324" spans="1:25" x14ac:dyDescent="0.25">
      <c r="A324" s="36"/>
      <c r="J324" s="67"/>
      <c r="M324" s="68"/>
      <c r="N324" s="69"/>
      <c r="O324" s="69"/>
      <c r="S324" s="70"/>
      <c r="T324" s="70"/>
      <c r="U324" s="70"/>
      <c r="V324" s="70"/>
      <c r="W324" s="70"/>
      <c r="X324" s="70"/>
      <c r="Y324" s="70"/>
    </row>
    <row r="325" spans="1:25" x14ac:dyDescent="0.25">
      <c r="A325" s="36"/>
      <c r="J325" s="67"/>
      <c r="M325" s="68"/>
      <c r="N325" s="69"/>
      <c r="O325" s="69"/>
      <c r="S325" s="70"/>
      <c r="T325" s="70"/>
      <c r="U325" s="70"/>
      <c r="V325" s="70"/>
      <c r="W325" s="70"/>
      <c r="X325" s="70"/>
      <c r="Y325" s="70"/>
    </row>
    <row r="326" spans="1:25" x14ac:dyDescent="0.25">
      <c r="A326" s="36"/>
      <c r="J326" s="67"/>
      <c r="M326" s="68"/>
      <c r="N326" s="69"/>
      <c r="O326" s="69"/>
      <c r="S326" s="70"/>
      <c r="T326" s="70"/>
      <c r="U326" s="70"/>
      <c r="V326" s="70"/>
      <c r="W326" s="70"/>
      <c r="X326" s="70"/>
      <c r="Y326" s="70"/>
    </row>
    <row r="327" spans="1:25" x14ac:dyDescent="0.25">
      <c r="A327" s="36"/>
      <c r="J327" s="67"/>
      <c r="M327" s="68"/>
      <c r="N327" s="69"/>
      <c r="O327" s="69"/>
      <c r="S327" s="70"/>
      <c r="T327" s="70"/>
      <c r="U327" s="70"/>
      <c r="V327" s="70"/>
      <c r="W327" s="70"/>
      <c r="X327" s="70"/>
      <c r="Y327" s="70"/>
    </row>
    <row r="328" spans="1:25" x14ac:dyDescent="0.25">
      <c r="A328" s="36"/>
      <c r="J328" s="67"/>
      <c r="M328" s="68"/>
      <c r="N328" s="69"/>
      <c r="O328" s="69"/>
      <c r="S328" s="70"/>
      <c r="T328" s="70"/>
      <c r="U328" s="70"/>
      <c r="V328" s="70"/>
      <c r="W328" s="70"/>
      <c r="X328" s="70"/>
      <c r="Y328" s="70"/>
    </row>
    <row r="329" spans="1:25" x14ac:dyDescent="0.25">
      <c r="A329" s="36"/>
      <c r="J329" s="67"/>
      <c r="M329" s="68"/>
      <c r="N329" s="69"/>
      <c r="O329" s="69"/>
      <c r="S329" s="70"/>
      <c r="T329" s="70"/>
      <c r="U329" s="70"/>
      <c r="V329" s="70"/>
      <c r="W329" s="70"/>
      <c r="X329" s="70"/>
      <c r="Y329" s="70"/>
    </row>
    <row r="330" spans="1:25" x14ac:dyDescent="0.25">
      <c r="A330" s="36"/>
      <c r="J330" s="67"/>
      <c r="M330" s="68"/>
      <c r="N330" s="69"/>
      <c r="O330" s="69"/>
      <c r="S330" s="70"/>
      <c r="T330" s="70"/>
      <c r="U330" s="70"/>
      <c r="V330" s="70"/>
      <c r="W330" s="70"/>
      <c r="X330" s="70"/>
      <c r="Y330" s="70"/>
    </row>
    <row r="331" spans="1:25" x14ac:dyDescent="0.25">
      <c r="A331" s="36"/>
      <c r="J331" s="67"/>
      <c r="M331" s="68"/>
      <c r="N331" s="69"/>
      <c r="O331" s="69"/>
      <c r="S331" s="70"/>
      <c r="T331" s="70"/>
      <c r="U331" s="70"/>
      <c r="V331" s="70"/>
      <c r="W331" s="70"/>
      <c r="X331" s="70"/>
      <c r="Y331" s="70"/>
    </row>
    <row r="332" spans="1:25" x14ac:dyDescent="0.25">
      <c r="A332" s="36"/>
      <c r="J332" s="67"/>
      <c r="M332" s="68"/>
      <c r="N332" s="69"/>
      <c r="O332" s="69"/>
      <c r="S332" s="70"/>
      <c r="T332" s="70"/>
      <c r="U332" s="70"/>
      <c r="V332" s="70"/>
      <c r="W332" s="70"/>
      <c r="X332" s="70"/>
      <c r="Y332" s="70"/>
    </row>
    <row r="333" spans="1:25" x14ac:dyDescent="0.25">
      <c r="A333" s="36"/>
      <c r="J333" s="67"/>
      <c r="M333" s="68"/>
      <c r="N333" s="69"/>
      <c r="O333" s="69"/>
      <c r="S333" s="70"/>
      <c r="T333" s="70"/>
      <c r="U333" s="70"/>
      <c r="V333" s="70"/>
      <c r="W333" s="70"/>
      <c r="X333" s="70"/>
      <c r="Y333" s="70"/>
    </row>
    <row r="334" spans="1:25" x14ac:dyDescent="0.25">
      <c r="A334" s="36"/>
      <c r="J334" s="67"/>
      <c r="M334" s="68"/>
      <c r="N334" s="69"/>
      <c r="O334" s="69"/>
      <c r="S334" s="70"/>
      <c r="T334" s="70"/>
      <c r="U334" s="70"/>
      <c r="V334" s="70"/>
      <c r="W334" s="70"/>
      <c r="X334" s="70"/>
      <c r="Y334" s="70"/>
    </row>
    <row r="335" spans="1:25" x14ac:dyDescent="0.25">
      <c r="A335" s="36"/>
      <c r="J335" s="67"/>
      <c r="M335" s="68"/>
      <c r="N335" s="69"/>
      <c r="O335" s="69"/>
      <c r="S335" s="70"/>
      <c r="T335" s="70"/>
      <c r="U335" s="70"/>
      <c r="V335" s="70"/>
      <c r="W335" s="70"/>
      <c r="X335" s="70"/>
      <c r="Y335" s="70"/>
    </row>
    <row r="336" spans="1:25" x14ac:dyDescent="0.25">
      <c r="A336" s="36"/>
      <c r="J336" s="67"/>
      <c r="M336" s="68"/>
      <c r="N336" s="69"/>
      <c r="O336" s="69"/>
      <c r="S336" s="70"/>
      <c r="T336" s="70"/>
      <c r="U336" s="70"/>
      <c r="V336" s="70"/>
      <c r="W336" s="70"/>
      <c r="X336" s="70"/>
      <c r="Y336" s="70"/>
    </row>
    <row r="337" spans="1:25" x14ac:dyDescent="0.25">
      <c r="A337" s="36"/>
      <c r="J337" s="67"/>
      <c r="M337" s="68"/>
      <c r="N337" s="69"/>
      <c r="O337" s="69"/>
      <c r="S337" s="70"/>
      <c r="T337" s="70"/>
      <c r="U337" s="70"/>
      <c r="V337" s="70"/>
      <c r="W337" s="70"/>
      <c r="X337" s="70"/>
      <c r="Y337" s="70"/>
    </row>
    <row r="338" spans="1:25" x14ac:dyDescent="0.25">
      <c r="A338" s="36"/>
      <c r="J338" s="67"/>
      <c r="M338" s="68"/>
      <c r="N338" s="69"/>
      <c r="O338" s="69"/>
      <c r="S338" s="70"/>
      <c r="T338" s="70"/>
      <c r="U338" s="70"/>
      <c r="V338" s="70"/>
      <c r="W338" s="70"/>
      <c r="X338" s="70"/>
      <c r="Y338" s="70"/>
    </row>
    <row r="339" spans="1:25" x14ac:dyDescent="0.25">
      <c r="A339" s="36"/>
      <c r="J339" s="67"/>
      <c r="M339" s="68"/>
      <c r="N339" s="69"/>
      <c r="O339" s="69"/>
      <c r="S339" s="70"/>
      <c r="T339" s="70"/>
      <c r="U339" s="70"/>
      <c r="V339" s="70"/>
      <c r="W339" s="70"/>
      <c r="X339" s="70"/>
      <c r="Y339" s="70"/>
    </row>
    <row r="340" spans="1:25" x14ac:dyDescent="0.25">
      <c r="A340" s="36"/>
      <c r="J340" s="67"/>
      <c r="M340" s="68"/>
      <c r="N340" s="69"/>
      <c r="O340" s="69"/>
      <c r="S340" s="70"/>
      <c r="T340" s="70"/>
      <c r="U340" s="70"/>
      <c r="V340" s="70"/>
      <c r="W340" s="70"/>
      <c r="X340" s="70"/>
      <c r="Y340" s="70"/>
    </row>
    <row r="341" spans="1:25" x14ac:dyDescent="0.25">
      <c r="A341" s="36"/>
      <c r="J341" s="67"/>
      <c r="M341" s="68"/>
      <c r="N341" s="69"/>
      <c r="O341" s="69"/>
      <c r="S341" s="70"/>
      <c r="T341" s="70"/>
      <c r="U341" s="70"/>
      <c r="V341" s="70"/>
      <c r="W341" s="70"/>
      <c r="X341" s="70"/>
      <c r="Y341" s="70"/>
    </row>
    <row r="342" spans="1:25" x14ac:dyDescent="0.25">
      <c r="A342" s="36"/>
      <c r="J342" s="67"/>
      <c r="M342" s="68"/>
      <c r="N342" s="69"/>
      <c r="O342" s="69"/>
      <c r="S342" s="70"/>
      <c r="T342" s="70"/>
      <c r="U342" s="70"/>
      <c r="V342" s="70"/>
      <c r="W342" s="70"/>
      <c r="X342" s="70"/>
      <c r="Y342" s="70"/>
    </row>
    <row r="343" spans="1:25" x14ac:dyDescent="0.25">
      <c r="A343" s="36"/>
      <c r="J343" s="67"/>
      <c r="M343" s="68"/>
      <c r="N343" s="69"/>
      <c r="O343" s="69"/>
      <c r="S343" s="70"/>
      <c r="T343" s="70"/>
      <c r="U343" s="70"/>
      <c r="V343" s="70"/>
      <c r="W343" s="70"/>
      <c r="X343" s="70"/>
      <c r="Y343" s="70"/>
    </row>
    <row r="344" spans="1:25" x14ac:dyDescent="0.25">
      <c r="A344" s="36"/>
      <c r="J344" s="67"/>
      <c r="M344" s="68"/>
      <c r="N344" s="69"/>
      <c r="O344" s="69"/>
      <c r="S344" s="70"/>
      <c r="T344" s="70"/>
      <c r="U344" s="70"/>
      <c r="V344" s="70"/>
      <c r="W344" s="70"/>
      <c r="X344" s="70"/>
      <c r="Y344" s="70"/>
    </row>
    <row r="345" spans="1:25" x14ac:dyDescent="0.25">
      <c r="A345" s="36"/>
      <c r="J345" s="67"/>
      <c r="M345" s="68"/>
      <c r="N345" s="69"/>
      <c r="O345" s="69"/>
      <c r="S345" s="70"/>
      <c r="T345" s="70"/>
      <c r="U345" s="70"/>
      <c r="V345" s="70"/>
      <c r="W345" s="70"/>
      <c r="X345" s="70"/>
      <c r="Y345" s="70"/>
    </row>
    <row r="346" spans="1:25" x14ac:dyDescent="0.25">
      <c r="A346" s="36"/>
      <c r="J346" s="67"/>
      <c r="M346" s="68"/>
      <c r="N346" s="69"/>
      <c r="O346" s="69"/>
      <c r="S346" s="70"/>
      <c r="T346" s="70"/>
      <c r="U346" s="70"/>
      <c r="V346" s="70"/>
      <c r="W346" s="70"/>
      <c r="X346" s="70"/>
      <c r="Y346" s="70"/>
    </row>
    <row r="347" spans="1:25" x14ac:dyDescent="0.25">
      <c r="A347" s="36"/>
      <c r="J347" s="67"/>
      <c r="M347" s="68"/>
      <c r="N347" s="69"/>
      <c r="O347" s="69"/>
      <c r="S347" s="70"/>
      <c r="T347" s="70"/>
      <c r="U347" s="70"/>
      <c r="V347" s="70"/>
      <c r="W347" s="70"/>
      <c r="X347" s="70"/>
      <c r="Y347" s="70"/>
    </row>
    <row r="348" spans="1:25" x14ac:dyDescent="0.25">
      <c r="A348" s="36"/>
      <c r="J348" s="67"/>
      <c r="M348" s="68"/>
      <c r="N348" s="69"/>
      <c r="O348" s="69"/>
      <c r="S348" s="70"/>
      <c r="T348" s="70"/>
      <c r="U348" s="70"/>
      <c r="V348" s="70"/>
      <c r="W348" s="70"/>
      <c r="X348" s="70"/>
      <c r="Y348" s="70"/>
    </row>
    <row r="349" spans="1:25" x14ac:dyDescent="0.25">
      <c r="A349" s="36"/>
      <c r="J349" s="67"/>
      <c r="M349" s="68"/>
      <c r="N349" s="69"/>
      <c r="O349" s="69"/>
      <c r="S349" s="70"/>
      <c r="T349" s="70"/>
      <c r="U349" s="70"/>
      <c r="V349" s="70"/>
      <c r="W349" s="70"/>
      <c r="X349" s="70"/>
      <c r="Y349" s="70"/>
    </row>
    <row r="350" spans="1:25" x14ac:dyDescent="0.25">
      <c r="A350" s="36"/>
      <c r="J350" s="67"/>
      <c r="M350" s="68"/>
      <c r="N350" s="69"/>
      <c r="O350" s="69"/>
      <c r="S350" s="70"/>
      <c r="T350" s="70"/>
      <c r="U350" s="70"/>
      <c r="V350" s="70"/>
      <c r="W350" s="70"/>
      <c r="X350" s="70"/>
      <c r="Y350" s="70"/>
    </row>
    <row r="351" spans="1:25" x14ac:dyDescent="0.25">
      <c r="A351" s="36"/>
      <c r="J351" s="67"/>
      <c r="M351" s="68"/>
      <c r="N351" s="69"/>
      <c r="O351" s="69"/>
      <c r="S351" s="70"/>
      <c r="T351" s="70"/>
      <c r="U351" s="70"/>
      <c r="V351" s="70"/>
      <c r="W351" s="70"/>
      <c r="X351" s="70"/>
      <c r="Y351" s="70"/>
    </row>
    <row r="352" spans="1:25" x14ac:dyDescent="0.25">
      <c r="A352" s="36"/>
      <c r="J352" s="67"/>
      <c r="M352" s="68"/>
      <c r="N352" s="69"/>
      <c r="O352" s="69"/>
      <c r="S352" s="70"/>
      <c r="T352" s="70"/>
      <c r="U352" s="70"/>
      <c r="V352" s="70"/>
      <c r="W352" s="70"/>
      <c r="X352" s="70"/>
      <c r="Y352" s="70"/>
    </row>
    <row r="353" spans="1:25" x14ac:dyDescent="0.25">
      <c r="A353" s="36"/>
      <c r="J353" s="67"/>
      <c r="M353" s="68"/>
      <c r="N353" s="69"/>
      <c r="O353" s="69"/>
      <c r="S353" s="70"/>
      <c r="T353" s="70"/>
      <c r="U353" s="70"/>
      <c r="V353" s="70"/>
      <c r="W353" s="70"/>
      <c r="X353" s="70"/>
      <c r="Y353" s="70"/>
    </row>
    <row r="354" spans="1:25" x14ac:dyDescent="0.25">
      <c r="A354" s="36"/>
      <c r="J354" s="67"/>
      <c r="M354" s="68"/>
      <c r="N354" s="69"/>
      <c r="O354" s="69"/>
      <c r="S354" s="70"/>
      <c r="T354" s="70"/>
      <c r="U354" s="70"/>
      <c r="V354" s="70"/>
      <c r="W354" s="70"/>
      <c r="X354" s="70"/>
      <c r="Y354" s="70"/>
    </row>
    <row r="355" spans="1:25" x14ac:dyDescent="0.25">
      <c r="A355" s="36"/>
      <c r="J355" s="67"/>
      <c r="M355" s="68"/>
      <c r="N355" s="69"/>
      <c r="O355" s="69"/>
      <c r="S355" s="70"/>
      <c r="T355" s="70"/>
      <c r="U355" s="70"/>
      <c r="V355" s="70"/>
      <c r="W355" s="70"/>
      <c r="X355" s="70"/>
      <c r="Y355" s="70"/>
    </row>
    <row r="356" spans="1:25" x14ac:dyDescent="0.25">
      <c r="A356" s="36"/>
      <c r="J356" s="67"/>
      <c r="M356" s="68"/>
      <c r="N356" s="69"/>
      <c r="O356" s="69"/>
      <c r="S356" s="70"/>
      <c r="T356" s="70"/>
      <c r="U356" s="70"/>
      <c r="V356" s="70"/>
      <c r="W356" s="70"/>
      <c r="X356" s="70"/>
      <c r="Y356" s="70"/>
    </row>
    <row r="357" spans="1:25" x14ac:dyDescent="0.25">
      <c r="A357" s="36"/>
      <c r="J357" s="67"/>
      <c r="M357" s="68"/>
      <c r="N357" s="69"/>
      <c r="O357" s="69"/>
      <c r="S357" s="70"/>
      <c r="T357" s="70"/>
      <c r="U357" s="70"/>
      <c r="V357" s="70"/>
      <c r="W357" s="70"/>
      <c r="X357" s="70"/>
      <c r="Y357" s="70"/>
    </row>
    <row r="358" spans="1:25" x14ac:dyDescent="0.25">
      <c r="A358" s="36"/>
      <c r="J358" s="67"/>
      <c r="M358" s="68"/>
      <c r="N358" s="69"/>
      <c r="O358" s="69"/>
      <c r="S358" s="70"/>
      <c r="T358" s="70"/>
      <c r="U358" s="70"/>
      <c r="V358" s="70"/>
      <c r="W358" s="70"/>
      <c r="X358" s="70"/>
      <c r="Y358" s="70"/>
    </row>
    <row r="359" spans="1:25" x14ac:dyDescent="0.25">
      <c r="A359" s="36"/>
      <c r="J359" s="67"/>
      <c r="M359" s="68"/>
      <c r="N359" s="69"/>
      <c r="O359" s="69"/>
      <c r="S359" s="70"/>
      <c r="T359" s="70"/>
      <c r="U359" s="70"/>
      <c r="V359" s="70"/>
      <c r="W359" s="70"/>
      <c r="X359" s="70"/>
      <c r="Y359" s="70"/>
    </row>
    <row r="360" spans="1:25" x14ac:dyDescent="0.25">
      <c r="A360" s="36"/>
      <c r="J360" s="67"/>
      <c r="M360" s="68"/>
      <c r="N360" s="69"/>
      <c r="O360" s="69"/>
      <c r="S360" s="70"/>
      <c r="T360" s="70"/>
      <c r="U360" s="70"/>
      <c r="V360" s="70"/>
      <c r="W360" s="70"/>
      <c r="X360" s="70"/>
      <c r="Y360" s="70"/>
    </row>
    <row r="361" spans="1:25" x14ac:dyDescent="0.25">
      <c r="A361" s="36"/>
      <c r="J361" s="67"/>
      <c r="M361" s="68"/>
      <c r="N361" s="69"/>
      <c r="O361" s="69"/>
      <c r="S361" s="70"/>
      <c r="T361" s="70"/>
      <c r="U361" s="70"/>
      <c r="V361" s="70"/>
      <c r="W361" s="70"/>
      <c r="X361" s="70"/>
      <c r="Y361" s="70"/>
    </row>
    <row r="362" spans="1:25" x14ac:dyDescent="0.25">
      <c r="A362" s="36"/>
      <c r="J362" s="67"/>
      <c r="M362" s="68"/>
      <c r="N362" s="69"/>
      <c r="O362" s="69"/>
      <c r="S362" s="70"/>
      <c r="T362" s="70"/>
      <c r="U362" s="70"/>
      <c r="V362" s="70"/>
      <c r="W362" s="70"/>
      <c r="X362" s="70"/>
      <c r="Y362" s="70"/>
    </row>
    <row r="363" spans="1:25" x14ac:dyDescent="0.25">
      <c r="A363" s="36"/>
      <c r="J363" s="67"/>
      <c r="M363" s="68"/>
      <c r="N363" s="69"/>
      <c r="O363" s="69"/>
      <c r="S363" s="70"/>
      <c r="T363" s="70"/>
      <c r="U363" s="70"/>
      <c r="V363" s="70"/>
      <c r="W363" s="70"/>
      <c r="X363" s="70"/>
      <c r="Y363" s="70"/>
    </row>
    <row r="364" spans="1:25" x14ac:dyDescent="0.25">
      <c r="A364" s="36"/>
      <c r="J364" s="67"/>
      <c r="M364" s="68"/>
      <c r="N364" s="69"/>
      <c r="O364" s="69"/>
      <c r="S364" s="70"/>
      <c r="T364" s="70"/>
      <c r="U364" s="70"/>
      <c r="V364" s="70"/>
      <c r="W364" s="70"/>
      <c r="X364" s="70"/>
      <c r="Y364" s="70"/>
    </row>
    <row r="365" spans="1:25" x14ac:dyDescent="0.25">
      <c r="A365" s="36"/>
      <c r="J365" s="67"/>
      <c r="M365" s="68"/>
      <c r="N365" s="69"/>
      <c r="O365" s="69"/>
      <c r="S365" s="70"/>
      <c r="T365" s="70"/>
      <c r="U365" s="70"/>
      <c r="V365" s="70"/>
      <c r="W365" s="70"/>
      <c r="X365" s="70"/>
      <c r="Y365" s="70"/>
    </row>
    <row r="366" spans="1:25" x14ac:dyDescent="0.25">
      <c r="A366" s="36"/>
      <c r="J366" s="67"/>
      <c r="M366" s="68"/>
      <c r="N366" s="69"/>
      <c r="O366" s="69"/>
      <c r="S366" s="70"/>
      <c r="T366" s="70"/>
      <c r="U366" s="70"/>
      <c r="V366" s="70"/>
      <c r="W366" s="70"/>
      <c r="X366" s="70"/>
      <c r="Y366" s="70"/>
    </row>
    <row r="367" spans="1:25" x14ac:dyDescent="0.25">
      <c r="A367" s="36"/>
      <c r="J367" s="67"/>
      <c r="M367" s="68"/>
      <c r="N367" s="69"/>
      <c r="O367" s="69"/>
      <c r="S367" s="70"/>
      <c r="T367" s="70"/>
      <c r="U367" s="70"/>
      <c r="V367" s="70"/>
      <c r="W367" s="70"/>
      <c r="X367" s="70"/>
      <c r="Y367" s="70"/>
    </row>
    <row r="368" spans="1:25" x14ac:dyDescent="0.25">
      <c r="A368" s="36"/>
      <c r="J368" s="67"/>
      <c r="M368" s="68"/>
      <c r="N368" s="69"/>
      <c r="O368" s="69"/>
      <c r="S368" s="70"/>
      <c r="T368" s="70"/>
      <c r="U368" s="70"/>
      <c r="V368" s="70"/>
      <c r="W368" s="70"/>
      <c r="X368" s="70"/>
      <c r="Y368" s="70"/>
    </row>
    <row r="369" spans="1:25" x14ac:dyDescent="0.25">
      <c r="A369" s="36"/>
      <c r="J369" s="67"/>
      <c r="M369" s="68"/>
      <c r="N369" s="69"/>
      <c r="O369" s="69"/>
      <c r="S369" s="70"/>
      <c r="T369" s="70"/>
      <c r="U369" s="70"/>
      <c r="V369" s="70"/>
      <c r="W369" s="70"/>
      <c r="X369" s="70"/>
      <c r="Y369" s="70"/>
    </row>
    <row r="370" spans="1:25" x14ac:dyDescent="0.25">
      <c r="A370" s="36"/>
      <c r="J370" s="67"/>
      <c r="M370" s="68"/>
      <c r="N370" s="69"/>
      <c r="O370" s="69"/>
      <c r="S370" s="70"/>
      <c r="T370" s="70"/>
      <c r="U370" s="70"/>
      <c r="V370" s="70"/>
      <c r="W370" s="70"/>
      <c r="X370" s="70"/>
      <c r="Y370" s="70"/>
    </row>
    <row r="371" spans="1:25" x14ac:dyDescent="0.25">
      <c r="A371" s="36"/>
      <c r="J371" s="67"/>
      <c r="M371" s="68"/>
      <c r="N371" s="69"/>
      <c r="O371" s="69"/>
      <c r="S371" s="70"/>
      <c r="T371" s="70"/>
      <c r="U371" s="70"/>
      <c r="V371" s="70"/>
      <c r="W371" s="70"/>
      <c r="X371" s="70"/>
      <c r="Y371" s="70"/>
    </row>
    <row r="372" spans="1:25" x14ac:dyDescent="0.25">
      <c r="A372" s="36"/>
      <c r="J372" s="67"/>
      <c r="M372" s="68"/>
      <c r="N372" s="69"/>
      <c r="O372" s="69"/>
      <c r="S372" s="70"/>
      <c r="T372" s="70"/>
      <c r="U372" s="70"/>
      <c r="V372" s="70"/>
      <c r="W372" s="70"/>
      <c r="X372" s="70"/>
      <c r="Y372" s="70"/>
    </row>
    <row r="373" spans="1:25" x14ac:dyDescent="0.25">
      <c r="A373" s="36"/>
      <c r="J373" s="67"/>
      <c r="M373" s="68"/>
      <c r="N373" s="69"/>
      <c r="O373" s="69"/>
      <c r="S373" s="70"/>
      <c r="T373" s="70"/>
      <c r="U373" s="70"/>
      <c r="V373" s="70"/>
      <c r="W373" s="70"/>
      <c r="X373" s="70"/>
      <c r="Y373" s="70"/>
    </row>
    <row r="374" spans="1:25" x14ac:dyDescent="0.25">
      <c r="A374" s="36"/>
      <c r="J374" s="67"/>
      <c r="M374" s="68"/>
      <c r="N374" s="69"/>
      <c r="O374" s="69"/>
      <c r="S374" s="70"/>
      <c r="T374" s="70"/>
      <c r="U374" s="70"/>
      <c r="V374" s="70"/>
      <c r="W374" s="70"/>
      <c r="X374" s="70"/>
      <c r="Y374" s="70"/>
    </row>
    <row r="375" spans="1:25" x14ac:dyDescent="0.25">
      <c r="A375" s="36"/>
      <c r="J375" s="67"/>
      <c r="M375" s="68"/>
      <c r="N375" s="69"/>
      <c r="O375" s="69"/>
      <c r="S375" s="70"/>
      <c r="T375" s="70"/>
      <c r="U375" s="70"/>
      <c r="V375" s="70"/>
      <c r="W375" s="70"/>
      <c r="X375" s="70"/>
      <c r="Y375" s="70"/>
    </row>
    <row r="376" spans="1:25" x14ac:dyDescent="0.25">
      <c r="A376" s="36"/>
      <c r="J376" s="67"/>
      <c r="M376" s="68"/>
      <c r="N376" s="69"/>
      <c r="O376" s="69"/>
      <c r="S376" s="70"/>
      <c r="T376" s="70"/>
      <c r="U376" s="70"/>
      <c r="V376" s="70"/>
      <c r="W376" s="70"/>
      <c r="X376" s="70"/>
      <c r="Y376" s="70"/>
    </row>
    <row r="377" spans="1:25" x14ac:dyDescent="0.25">
      <c r="A377" s="36"/>
      <c r="J377" s="67"/>
      <c r="M377" s="68"/>
      <c r="N377" s="69"/>
      <c r="O377" s="69"/>
      <c r="S377" s="70"/>
      <c r="T377" s="70"/>
      <c r="U377" s="70"/>
      <c r="V377" s="70"/>
      <c r="W377" s="70"/>
      <c r="X377" s="70"/>
      <c r="Y377" s="70"/>
    </row>
    <row r="378" spans="1:25" x14ac:dyDescent="0.25">
      <c r="A378" s="36"/>
      <c r="J378" s="67"/>
      <c r="M378" s="68"/>
      <c r="N378" s="69"/>
      <c r="O378" s="69"/>
      <c r="S378" s="70"/>
      <c r="T378" s="70"/>
      <c r="U378" s="70"/>
      <c r="V378" s="70"/>
      <c r="W378" s="70"/>
      <c r="X378" s="70"/>
      <c r="Y378" s="70"/>
    </row>
    <row r="379" spans="1:25" x14ac:dyDescent="0.25">
      <c r="A379" s="36"/>
      <c r="J379" s="67"/>
      <c r="M379" s="68"/>
      <c r="N379" s="69"/>
      <c r="O379" s="69"/>
      <c r="S379" s="70"/>
      <c r="T379" s="70"/>
      <c r="U379" s="70"/>
      <c r="V379" s="70"/>
      <c r="W379" s="70"/>
      <c r="X379" s="70"/>
      <c r="Y379" s="70"/>
    </row>
    <row r="380" spans="1:25" x14ac:dyDescent="0.25">
      <c r="A380" s="36"/>
      <c r="J380" s="67"/>
      <c r="M380" s="68"/>
      <c r="N380" s="69"/>
      <c r="O380" s="69"/>
      <c r="S380" s="70"/>
      <c r="T380" s="70"/>
      <c r="U380" s="70"/>
      <c r="V380" s="70"/>
      <c r="W380" s="70"/>
      <c r="X380" s="70"/>
      <c r="Y380" s="70"/>
    </row>
    <row r="381" spans="1:25" x14ac:dyDescent="0.25">
      <c r="A381" s="36"/>
      <c r="J381" s="67"/>
      <c r="M381" s="68"/>
      <c r="N381" s="69"/>
      <c r="O381" s="69"/>
      <c r="S381" s="70"/>
      <c r="T381" s="70"/>
      <c r="U381" s="70"/>
      <c r="V381" s="70"/>
      <c r="W381" s="70"/>
      <c r="X381" s="70"/>
      <c r="Y381" s="70"/>
    </row>
    <row r="382" spans="1:25" x14ac:dyDescent="0.25">
      <c r="A382" s="36"/>
      <c r="J382" s="67"/>
      <c r="M382" s="68"/>
      <c r="N382" s="69"/>
      <c r="O382" s="69"/>
      <c r="S382" s="70"/>
      <c r="T382" s="70"/>
      <c r="U382" s="70"/>
      <c r="V382" s="70"/>
      <c r="W382" s="70"/>
      <c r="X382" s="70"/>
      <c r="Y382" s="70"/>
    </row>
    <row r="383" spans="1:25" x14ac:dyDescent="0.25">
      <c r="A383" s="36"/>
      <c r="J383" s="67"/>
      <c r="M383" s="68"/>
      <c r="N383" s="69"/>
      <c r="O383" s="69"/>
      <c r="S383" s="70"/>
      <c r="T383" s="70"/>
      <c r="U383" s="70"/>
      <c r="V383" s="70"/>
      <c r="W383" s="70"/>
      <c r="X383" s="70"/>
      <c r="Y383" s="70"/>
    </row>
    <row r="384" spans="1:25" x14ac:dyDescent="0.25">
      <c r="A384" s="36"/>
      <c r="J384" s="67"/>
      <c r="M384" s="68"/>
      <c r="N384" s="69"/>
      <c r="O384" s="69"/>
      <c r="S384" s="70"/>
      <c r="T384" s="70"/>
      <c r="U384" s="70"/>
      <c r="V384" s="70"/>
      <c r="W384" s="70"/>
      <c r="X384" s="70"/>
      <c r="Y384" s="70"/>
    </row>
    <row r="385" spans="1:25" x14ac:dyDescent="0.25">
      <c r="A385" s="36"/>
      <c r="J385" s="67"/>
      <c r="M385" s="68"/>
      <c r="N385" s="69"/>
      <c r="O385" s="69"/>
      <c r="S385" s="70"/>
      <c r="T385" s="70"/>
      <c r="U385" s="70"/>
      <c r="V385" s="70"/>
      <c r="W385" s="70"/>
      <c r="X385" s="70"/>
      <c r="Y385" s="70"/>
    </row>
    <row r="386" spans="1:25" x14ac:dyDescent="0.25">
      <c r="A386" s="36"/>
      <c r="J386" s="67"/>
      <c r="M386" s="68"/>
      <c r="N386" s="69"/>
      <c r="O386" s="69"/>
      <c r="S386" s="70"/>
      <c r="T386" s="70"/>
      <c r="U386" s="70"/>
      <c r="V386" s="70"/>
      <c r="W386" s="70"/>
      <c r="X386" s="70"/>
      <c r="Y386" s="70"/>
    </row>
    <row r="387" spans="1:25" x14ac:dyDescent="0.25">
      <c r="A387" s="36"/>
      <c r="J387" s="67"/>
      <c r="M387" s="68"/>
      <c r="N387" s="69"/>
      <c r="O387" s="69"/>
      <c r="S387" s="70"/>
      <c r="T387" s="70"/>
      <c r="U387" s="70"/>
      <c r="V387" s="70"/>
      <c r="W387" s="70"/>
      <c r="X387" s="70"/>
      <c r="Y387" s="70"/>
    </row>
    <row r="388" spans="1:25" x14ac:dyDescent="0.25">
      <c r="A388" s="36"/>
      <c r="J388" s="67"/>
      <c r="M388" s="68"/>
      <c r="N388" s="69"/>
      <c r="O388" s="69"/>
      <c r="S388" s="70"/>
      <c r="T388" s="70"/>
      <c r="U388" s="70"/>
      <c r="V388" s="70"/>
      <c r="W388" s="70"/>
      <c r="X388" s="70"/>
      <c r="Y388" s="70"/>
    </row>
    <row r="389" spans="1:25" x14ac:dyDescent="0.25">
      <c r="A389" s="36"/>
      <c r="J389" s="67"/>
      <c r="M389" s="68"/>
      <c r="N389" s="69"/>
      <c r="O389" s="69"/>
      <c r="S389" s="70"/>
      <c r="T389" s="70"/>
      <c r="U389" s="70"/>
      <c r="V389" s="70"/>
      <c r="W389" s="70"/>
      <c r="X389" s="70"/>
      <c r="Y389" s="70"/>
    </row>
    <row r="390" spans="1:25" x14ac:dyDescent="0.25">
      <c r="A390" s="36"/>
      <c r="J390" s="67"/>
      <c r="M390" s="68"/>
      <c r="N390" s="69"/>
      <c r="O390" s="69"/>
      <c r="S390" s="70"/>
      <c r="T390" s="70"/>
      <c r="U390" s="70"/>
      <c r="V390" s="70"/>
      <c r="W390" s="70"/>
      <c r="X390" s="70"/>
      <c r="Y390" s="70"/>
    </row>
    <row r="391" spans="1:25" x14ac:dyDescent="0.25">
      <c r="A391" s="36"/>
      <c r="J391" s="67"/>
      <c r="M391" s="68"/>
      <c r="N391" s="69"/>
      <c r="O391" s="69"/>
      <c r="S391" s="70"/>
      <c r="T391" s="70"/>
      <c r="U391" s="70"/>
      <c r="V391" s="70"/>
      <c r="W391" s="70"/>
      <c r="X391" s="70"/>
      <c r="Y391" s="70"/>
    </row>
    <row r="392" spans="1:25" x14ac:dyDescent="0.25">
      <c r="A392" s="36"/>
      <c r="J392" s="67"/>
      <c r="M392" s="68"/>
      <c r="N392" s="69"/>
      <c r="O392" s="69"/>
      <c r="S392" s="70"/>
      <c r="T392" s="70"/>
      <c r="U392" s="70"/>
      <c r="V392" s="70"/>
      <c r="W392" s="70"/>
      <c r="X392" s="70"/>
      <c r="Y392" s="70"/>
    </row>
    <row r="393" spans="1:25" x14ac:dyDescent="0.25">
      <c r="A393" s="36"/>
      <c r="J393" s="67"/>
      <c r="M393" s="68"/>
      <c r="N393" s="69"/>
      <c r="O393" s="69"/>
      <c r="S393" s="70"/>
      <c r="T393" s="70"/>
      <c r="U393" s="70"/>
      <c r="V393" s="70"/>
      <c r="W393" s="70"/>
      <c r="X393" s="70"/>
      <c r="Y393" s="70"/>
    </row>
    <row r="394" spans="1:25" x14ac:dyDescent="0.25">
      <c r="A394" s="36"/>
      <c r="J394" s="67"/>
      <c r="M394" s="68"/>
      <c r="N394" s="69"/>
      <c r="O394" s="69"/>
      <c r="S394" s="70"/>
      <c r="T394" s="70"/>
      <c r="U394" s="70"/>
      <c r="V394" s="70"/>
      <c r="W394" s="70"/>
      <c r="X394" s="70"/>
      <c r="Y394" s="70"/>
    </row>
    <row r="395" spans="1:25" x14ac:dyDescent="0.25">
      <c r="A395" s="36"/>
      <c r="J395" s="67"/>
      <c r="M395" s="68"/>
      <c r="N395" s="69"/>
      <c r="O395" s="69"/>
      <c r="S395" s="70"/>
      <c r="T395" s="70"/>
      <c r="U395" s="70"/>
      <c r="V395" s="70"/>
      <c r="W395" s="70"/>
      <c r="X395" s="70"/>
      <c r="Y395" s="70"/>
    </row>
    <row r="396" spans="1:25" x14ac:dyDescent="0.25">
      <c r="A396" s="36"/>
      <c r="J396" s="67"/>
      <c r="M396" s="68"/>
      <c r="N396" s="69"/>
      <c r="O396" s="69"/>
      <c r="S396" s="70"/>
      <c r="T396" s="70"/>
      <c r="U396" s="70"/>
      <c r="V396" s="70"/>
      <c r="W396" s="70"/>
      <c r="X396" s="70"/>
      <c r="Y396" s="70"/>
    </row>
    <row r="397" spans="1:25" x14ac:dyDescent="0.25">
      <c r="A397" s="36"/>
      <c r="J397" s="67"/>
      <c r="M397" s="68"/>
      <c r="N397" s="69"/>
      <c r="O397" s="69"/>
      <c r="S397" s="70"/>
      <c r="T397" s="70"/>
      <c r="U397" s="70"/>
      <c r="V397" s="70"/>
      <c r="W397" s="70"/>
      <c r="X397" s="70"/>
      <c r="Y397" s="70"/>
    </row>
    <row r="398" spans="1:25" x14ac:dyDescent="0.25">
      <c r="A398" s="36"/>
      <c r="J398" s="67"/>
      <c r="M398" s="68"/>
      <c r="N398" s="69"/>
      <c r="O398" s="69"/>
      <c r="S398" s="70"/>
      <c r="T398" s="70"/>
      <c r="U398" s="70"/>
      <c r="V398" s="70"/>
      <c r="W398" s="70"/>
      <c r="X398" s="70"/>
      <c r="Y398" s="70"/>
    </row>
    <row r="399" spans="1:25" x14ac:dyDescent="0.25">
      <c r="A399" s="36"/>
      <c r="J399" s="67"/>
      <c r="M399" s="68"/>
      <c r="N399" s="69"/>
      <c r="O399" s="69"/>
      <c r="S399" s="70"/>
      <c r="T399" s="70"/>
      <c r="U399" s="70"/>
      <c r="V399" s="70"/>
      <c r="W399" s="70"/>
      <c r="X399" s="70"/>
      <c r="Y399" s="70"/>
    </row>
    <row r="400" spans="1:25" x14ac:dyDescent="0.25">
      <c r="A400" s="36"/>
      <c r="J400" s="67"/>
      <c r="M400" s="68"/>
      <c r="N400" s="69"/>
      <c r="O400" s="69"/>
      <c r="S400" s="70"/>
      <c r="T400" s="70"/>
      <c r="U400" s="70"/>
      <c r="V400" s="70"/>
      <c r="W400" s="70"/>
      <c r="X400" s="70"/>
      <c r="Y400" s="70"/>
    </row>
    <row r="401" spans="1:25" x14ac:dyDescent="0.25">
      <c r="A401" s="36"/>
      <c r="J401" s="67"/>
      <c r="M401" s="68"/>
      <c r="N401" s="69"/>
      <c r="O401" s="69"/>
      <c r="S401" s="70"/>
      <c r="T401" s="70"/>
      <c r="U401" s="70"/>
      <c r="V401" s="70"/>
      <c r="W401" s="70"/>
      <c r="X401" s="70"/>
      <c r="Y401" s="70"/>
    </row>
    <row r="402" spans="1:25" x14ac:dyDescent="0.25">
      <c r="A402" s="36"/>
      <c r="J402" s="67"/>
      <c r="M402" s="68"/>
      <c r="N402" s="69"/>
      <c r="O402" s="69"/>
      <c r="S402" s="70"/>
      <c r="T402" s="70"/>
      <c r="U402" s="70"/>
      <c r="V402" s="70"/>
      <c r="W402" s="70"/>
      <c r="X402" s="70"/>
      <c r="Y402" s="70"/>
    </row>
    <row r="403" spans="1:25" x14ac:dyDescent="0.25">
      <c r="A403" s="36"/>
      <c r="J403" s="67"/>
      <c r="M403" s="68"/>
      <c r="N403" s="69"/>
      <c r="O403" s="69"/>
      <c r="S403" s="70"/>
      <c r="T403" s="70"/>
      <c r="U403" s="70"/>
      <c r="V403" s="70"/>
      <c r="W403" s="70"/>
      <c r="X403" s="70"/>
      <c r="Y403" s="70"/>
    </row>
    <row r="404" spans="1:25" x14ac:dyDescent="0.25">
      <c r="A404" s="36"/>
      <c r="J404" s="67"/>
      <c r="M404" s="68"/>
      <c r="N404" s="69"/>
      <c r="O404" s="69"/>
      <c r="S404" s="70"/>
      <c r="T404" s="70"/>
      <c r="U404" s="70"/>
      <c r="V404" s="70"/>
      <c r="W404" s="70"/>
      <c r="X404" s="70"/>
      <c r="Y404" s="70"/>
    </row>
    <row r="405" spans="1:25" x14ac:dyDescent="0.25">
      <c r="A405" s="36"/>
      <c r="J405" s="67"/>
      <c r="M405" s="68"/>
      <c r="N405" s="69"/>
      <c r="O405" s="69"/>
      <c r="S405" s="70"/>
      <c r="T405" s="70"/>
      <c r="U405" s="70"/>
      <c r="V405" s="70"/>
      <c r="W405" s="70"/>
      <c r="X405" s="70"/>
      <c r="Y405" s="70"/>
    </row>
    <row r="406" spans="1:25" x14ac:dyDescent="0.25">
      <c r="A406" s="36"/>
      <c r="J406" s="67"/>
      <c r="M406" s="68"/>
      <c r="N406" s="69"/>
      <c r="O406" s="69"/>
      <c r="S406" s="70"/>
      <c r="T406" s="70"/>
      <c r="U406" s="70"/>
      <c r="V406" s="70"/>
      <c r="W406" s="70"/>
      <c r="X406" s="70"/>
      <c r="Y406" s="70"/>
    </row>
    <row r="407" spans="1:25" x14ac:dyDescent="0.25">
      <c r="A407" s="36"/>
      <c r="J407" s="67"/>
      <c r="M407" s="68"/>
      <c r="N407" s="69"/>
      <c r="O407" s="69"/>
      <c r="S407" s="70"/>
      <c r="T407" s="70"/>
      <c r="U407" s="70"/>
      <c r="V407" s="70"/>
      <c r="W407" s="70"/>
      <c r="X407" s="70"/>
      <c r="Y407" s="70"/>
    </row>
    <row r="408" spans="1:25" x14ac:dyDescent="0.25">
      <c r="A408" s="36"/>
      <c r="J408" s="67"/>
      <c r="M408" s="68"/>
      <c r="N408" s="69"/>
      <c r="O408" s="69"/>
      <c r="S408" s="70"/>
      <c r="T408" s="70"/>
      <c r="U408" s="70"/>
      <c r="V408" s="70"/>
      <c r="W408" s="70"/>
      <c r="X408" s="70"/>
      <c r="Y408" s="70"/>
    </row>
    <row r="409" spans="1:25" x14ac:dyDescent="0.25">
      <c r="A409" s="36"/>
      <c r="J409" s="67"/>
      <c r="M409" s="68"/>
      <c r="N409" s="69"/>
      <c r="O409" s="69"/>
      <c r="S409" s="70"/>
      <c r="T409" s="70"/>
      <c r="U409" s="70"/>
      <c r="V409" s="70"/>
      <c r="W409" s="70"/>
      <c r="X409" s="70"/>
      <c r="Y409" s="70"/>
    </row>
    <row r="410" spans="1:25" x14ac:dyDescent="0.25">
      <c r="A410" s="36"/>
      <c r="J410" s="67"/>
      <c r="M410" s="68"/>
      <c r="N410" s="69"/>
      <c r="O410" s="69"/>
      <c r="S410" s="70"/>
      <c r="T410" s="70"/>
      <c r="U410" s="70"/>
      <c r="V410" s="70"/>
      <c r="W410" s="70"/>
      <c r="X410" s="70"/>
      <c r="Y410" s="70"/>
    </row>
    <row r="411" spans="1:25" x14ac:dyDescent="0.25">
      <c r="A411" s="36"/>
      <c r="J411" s="67"/>
      <c r="M411" s="68"/>
      <c r="N411" s="69"/>
      <c r="O411" s="69"/>
      <c r="S411" s="70"/>
      <c r="T411" s="70"/>
      <c r="U411" s="70"/>
      <c r="V411" s="70"/>
      <c r="W411" s="70"/>
      <c r="X411" s="70"/>
      <c r="Y411" s="70"/>
    </row>
    <row r="412" spans="1:25" x14ac:dyDescent="0.25">
      <c r="A412" s="36"/>
      <c r="J412" s="67"/>
      <c r="M412" s="68"/>
      <c r="N412" s="69"/>
      <c r="O412" s="69"/>
      <c r="S412" s="70"/>
      <c r="T412" s="70"/>
      <c r="U412" s="70"/>
      <c r="V412" s="70"/>
      <c r="W412" s="70"/>
      <c r="X412" s="70"/>
      <c r="Y412" s="70"/>
    </row>
    <row r="413" spans="1:25" x14ac:dyDescent="0.25">
      <c r="A413" s="36"/>
      <c r="J413" s="67"/>
      <c r="M413" s="68"/>
      <c r="N413" s="69"/>
      <c r="O413" s="69"/>
      <c r="S413" s="70"/>
      <c r="T413" s="70"/>
      <c r="U413" s="70"/>
      <c r="V413" s="70"/>
      <c r="W413" s="70"/>
      <c r="X413" s="70"/>
      <c r="Y413" s="70"/>
    </row>
    <row r="414" spans="1:25" x14ac:dyDescent="0.25">
      <c r="A414" s="36"/>
      <c r="J414" s="67"/>
      <c r="M414" s="68"/>
      <c r="N414" s="69"/>
      <c r="O414" s="69"/>
      <c r="S414" s="70"/>
      <c r="T414" s="70"/>
      <c r="U414" s="70"/>
      <c r="V414" s="70"/>
      <c r="W414" s="70"/>
      <c r="X414" s="70"/>
      <c r="Y414" s="70"/>
    </row>
    <row r="415" spans="1:25" x14ac:dyDescent="0.25">
      <c r="A415" s="36"/>
      <c r="J415" s="67"/>
      <c r="M415" s="68"/>
      <c r="N415" s="69"/>
      <c r="O415" s="69"/>
      <c r="S415" s="70"/>
      <c r="T415" s="70"/>
      <c r="U415" s="70"/>
      <c r="V415" s="70"/>
      <c r="W415" s="70"/>
      <c r="X415" s="70"/>
      <c r="Y415" s="70"/>
    </row>
    <row r="416" spans="1:25" x14ac:dyDescent="0.25">
      <c r="A416" s="36"/>
      <c r="J416" s="67"/>
      <c r="N416" s="69"/>
      <c r="O416" s="69"/>
      <c r="S416" s="70"/>
      <c r="T416" s="70"/>
      <c r="U416" s="70"/>
      <c r="V416" s="70"/>
      <c r="W416" s="70"/>
      <c r="X416" s="70"/>
      <c r="Y416" s="70"/>
    </row>
    <row r="417" spans="1:25" x14ac:dyDescent="0.25">
      <c r="A417" s="36"/>
      <c r="J417" s="67"/>
      <c r="N417" s="69"/>
      <c r="O417" s="69"/>
      <c r="S417" s="70"/>
      <c r="T417" s="70"/>
      <c r="U417" s="70"/>
      <c r="V417" s="70"/>
      <c r="W417" s="70"/>
      <c r="X417" s="70"/>
      <c r="Y417" s="70"/>
    </row>
    <row r="418" spans="1:25" x14ac:dyDescent="0.25">
      <c r="A418" s="36"/>
      <c r="J418" s="67"/>
      <c r="N418" s="69"/>
      <c r="O418" s="69"/>
      <c r="S418" s="70"/>
      <c r="T418" s="70"/>
      <c r="U418" s="70"/>
      <c r="V418" s="70"/>
      <c r="W418" s="70"/>
      <c r="X418" s="70"/>
      <c r="Y418" s="70"/>
    </row>
    <row r="419" spans="1:25" x14ac:dyDescent="0.25">
      <c r="A419" s="36"/>
      <c r="J419" s="67"/>
      <c r="N419" s="69"/>
      <c r="O419" s="69"/>
      <c r="S419" s="70"/>
      <c r="T419" s="70"/>
      <c r="U419" s="70"/>
      <c r="V419" s="70"/>
      <c r="W419" s="70"/>
      <c r="X419" s="70"/>
      <c r="Y419" s="70"/>
    </row>
    <row r="420" spans="1:25" x14ac:dyDescent="0.25">
      <c r="A420" s="36"/>
      <c r="J420" s="67"/>
      <c r="N420" s="69"/>
      <c r="O420" s="69"/>
      <c r="S420" s="70"/>
      <c r="T420" s="70"/>
      <c r="U420" s="70"/>
      <c r="V420" s="70"/>
      <c r="W420" s="70"/>
      <c r="X420" s="70"/>
      <c r="Y420" s="70"/>
    </row>
    <row r="421" spans="1:25" x14ac:dyDescent="0.25">
      <c r="A421" s="36"/>
      <c r="J421" s="67"/>
      <c r="N421" s="69"/>
      <c r="O421" s="69"/>
      <c r="S421" s="70"/>
      <c r="T421" s="70"/>
      <c r="U421" s="70"/>
      <c r="V421" s="70"/>
      <c r="W421" s="70"/>
      <c r="X421" s="70"/>
      <c r="Y421" s="70"/>
    </row>
    <row r="422" spans="1:25" x14ac:dyDescent="0.25">
      <c r="A422" s="36"/>
      <c r="J422" s="67"/>
      <c r="N422" s="69"/>
      <c r="O422" s="69"/>
      <c r="S422" s="70"/>
      <c r="T422" s="70"/>
      <c r="U422" s="70"/>
      <c r="V422" s="70"/>
      <c r="W422" s="70"/>
      <c r="X422" s="70"/>
      <c r="Y422" s="70"/>
    </row>
    <row r="423" spans="1:25" x14ac:dyDescent="0.25">
      <c r="A423" s="36"/>
      <c r="J423" s="67"/>
      <c r="N423" s="69"/>
      <c r="O423" s="69"/>
      <c r="S423" s="70"/>
      <c r="T423" s="70"/>
      <c r="U423" s="70"/>
      <c r="V423" s="70"/>
      <c r="W423" s="70"/>
      <c r="X423" s="70"/>
      <c r="Y423" s="70"/>
    </row>
    <row r="424" spans="1:25" x14ac:dyDescent="0.25">
      <c r="A424" s="36"/>
      <c r="J424" s="67"/>
      <c r="N424" s="69"/>
      <c r="O424" s="69"/>
      <c r="S424" s="70"/>
      <c r="T424" s="70"/>
      <c r="U424" s="70"/>
      <c r="V424" s="70"/>
      <c r="W424" s="70"/>
      <c r="X424" s="70"/>
      <c r="Y424" s="70"/>
    </row>
    <row r="425" spans="1:25" x14ac:dyDescent="0.25">
      <c r="A425" s="36"/>
      <c r="J425" s="67"/>
      <c r="N425" s="69"/>
      <c r="O425" s="69"/>
      <c r="S425" s="70"/>
      <c r="T425" s="70"/>
      <c r="U425" s="70"/>
      <c r="V425" s="70"/>
      <c r="W425" s="70"/>
      <c r="X425" s="70"/>
      <c r="Y425" s="70"/>
    </row>
    <row r="426" spans="1:25" x14ac:dyDescent="0.25">
      <c r="A426" s="36"/>
      <c r="J426" s="67"/>
      <c r="N426" s="69"/>
      <c r="O426" s="69"/>
      <c r="S426" s="70"/>
      <c r="T426" s="70"/>
      <c r="U426" s="70"/>
      <c r="V426" s="70"/>
      <c r="W426" s="70"/>
      <c r="X426" s="70"/>
      <c r="Y426" s="70"/>
    </row>
    <row r="427" spans="1:25" x14ac:dyDescent="0.25">
      <c r="A427" s="36"/>
      <c r="J427" s="67"/>
      <c r="N427" s="69"/>
      <c r="O427" s="69"/>
      <c r="S427" s="70"/>
      <c r="T427" s="70"/>
      <c r="U427" s="70"/>
      <c r="V427" s="70"/>
      <c r="W427" s="70"/>
      <c r="X427" s="70"/>
      <c r="Y427" s="70"/>
    </row>
    <row r="428" spans="1:25" x14ac:dyDescent="0.25">
      <c r="A428" s="36"/>
      <c r="J428" s="67"/>
      <c r="N428" s="69"/>
      <c r="O428" s="69"/>
      <c r="S428" s="70"/>
      <c r="T428" s="70"/>
      <c r="U428" s="70"/>
      <c r="V428" s="70"/>
      <c r="W428" s="70"/>
      <c r="X428" s="70"/>
      <c r="Y428" s="70"/>
    </row>
    <row r="429" spans="1:25" x14ac:dyDescent="0.25">
      <c r="A429" s="36"/>
      <c r="J429" s="67"/>
      <c r="N429" s="69"/>
      <c r="O429" s="69"/>
      <c r="S429" s="70"/>
      <c r="T429" s="70"/>
      <c r="U429" s="70"/>
      <c r="V429" s="70"/>
      <c r="W429" s="70"/>
      <c r="X429" s="70"/>
      <c r="Y429" s="70"/>
    </row>
    <row r="430" spans="1:25" x14ac:dyDescent="0.25">
      <c r="A430" s="36"/>
      <c r="J430" s="67"/>
      <c r="N430" s="69"/>
      <c r="O430" s="69"/>
      <c r="S430" s="70"/>
      <c r="T430" s="70"/>
      <c r="U430" s="70"/>
      <c r="V430" s="70"/>
      <c r="W430" s="70"/>
      <c r="X430" s="70"/>
      <c r="Y430" s="70"/>
    </row>
    <row r="431" spans="1:25" x14ac:dyDescent="0.25">
      <c r="A431" s="36"/>
      <c r="J431" s="67"/>
      <c r="N431" s="69"/>
      <c r="O431" s="69"/>
      <c r="S431" s="70"/>
      <c r="T431" s="70"/>
      <c r="U431" s="70"/>
      <c r="V431" s="70"/>
      <c r="W431" s="70"/>
      <c r="X431" s="70"/>
      <c r="Y431" s="70"/>
    </row>
    <row r="432" spans="1:25" x14ac:dyDescent="0.25">
      <c r="A432" s="36"/>
      <c r="J432" s="67"/>
      <c r="N432" s="69"/>
      <c r="O432" s="69"/>
      <c r="S432" s="70"/>
      <c r="T432" s="70"/>
      <c r="U432" s="70"/>
      <c r="V432" s="70"/>
      <c r="W432" s="70"/>
      <c r="X432" s="70"/>
      <c r="Y432" s="70"/>
    </row>
    <row r="433" spans="1:25" x14ac:dyDescent="0.25">
      <c r="A433" s="36"/>
      <c r="J433" s="67"/>
      <c r="N433" s="69"/>
      <c r="O433" s="69"/>
      <c r="S433" s="70"/>
      <c r="T433" s="70"/>
      <c r="U433" s="70"/>
      <c r="V433" s="70"/>
      <c r="W433" s="70"/>
      <c r="X433" s="70"/>
      <c r="Y433" s="70"/>
    </row>
    <row r="434" spans="1:25" x14ac:dyDescent="0.25">
      <c r="A434" s="36"/>
      <c r="J434" s="67"/>
      <c r="N434" s="69"/>
      <c r="O434" s="69"/>
      <c r="S434" s="70"/>
      <c r="T434" s="70"/>
      <c r="U434" s="70"/>
      <c r="V434" s="70"/>
      <c r="W434" s="70"/>
      <c r="X434" s="70"/>
      <c r="Y434" s="70"/>
    </row>
    <row r="435" spans="1:25" x14ac:dyDescent="0.25">
      <c r="A435" s="36"/>
      <c r="J435" s="67"/>
      <c r="N435" s="69"/>
      <c r="O435" s="69"/>
      <c r="S435" s="70"/>
      <c r="T435" s="70"/>
      <c r="U435" s="70"/>
      <c r="V435" s="70"/>
      <c r="W435" s="70"/>
      <c r="X435" s="70"/>
      <c r="Y435" s="70"/>
    </row>
    <row r="436" spans="1:25" x14ac:dyDescent="0.25">
      <c r="A436" s="36"/>
      <c r="J436" s="67"/>
      <c r="N436" s="69"/>
      <c r="O436" s="69"/>
      <c r="S436" s="70"/>
      <c r="T436" s="70"/>
      <c r="U436" s="70"/>
      <c r="V436" s="70"/>
      <c r="W436" s="70"/>
      <c r="X436" s="70"/>
      <c r="Y436" s="70"/>
    </row>
    <row r="437" spans="1:25" x14ac:dyDescent="0.25">
      <c r="A437" s="36"/>
      <c r="J437" s="67"/>
      <c r="N437" s="69"/>
      <c r="O437" s="69"/>
      <c r="S437" s="70"/>
      <c r="T437" s="70"/>
      <c r="U437" s="70"/>
      <c r="V437" s="70"/>
      <c r="W437" s="70"/>
      <c r="X437" s="70"/>
      <c r="Y437" s="70"/>
    </row>
    <row r="438" spans="1:25" x14ac:dyDescent="0.25">
      <c r="A438" s="36"/>
      <c r="J438" s="67"/>
      <c r="N438" s="69"/>
      <c r="O438" s="69"/>
      <c r="S438" s="70"/>
      <c r="T438" s="70"/>
      <c r="U438" s="70"/>
      <c r="V438" s="70"/>
      <c r="W438" s="70"/>
      <c r="X438" s="70"/>
      <c r="Y438" s="70"/>
    </row>
    <row r="439" spans="1:25" x14ac:dyDescent="0.25">
      <c r="A439" s="36"/>
      <c r="J439" s="67"/>
      <c r="N439" s="69"/>
      <c r="O439" s="69"/>
      <c r="S439" s="70"/>
      <c r="T439" s="70"/>
      <c r="U439" s="70"/>
      <c r="V439" s="70"/>
      <c r="W439" s="70"/>
      <c r="X439" s="70"/>
      <c r="Y439" s="70"/>
    </row>
    <row r="440" spans="1:25" x14ac:dyDescent="0.25">
      <c r="A440" s="36"/>
      <c r="J440" s="67"/>
      <c r="N440" s="69"/>
      <c r="O440" s="69"/>
      <c r="S440" s="70"/>
      <c r="T440" s="70"/>
      <c r="U440" s="70"/>
      <c r="V440" s="70"/>
      <c r="W440" s="70"/>
      <c r="X440" s="70"/>
      <c r="Y440" s="70"/>
    </row>
    <row r="441" spans="1:25" x14ac:dyDescent="0.25">
      <c r="A441" s="36"/>
      <c r="J441" s="67"/>
      <c r="N441" s="69"/>
      <c r="O441" s="69"/>
      <c r="S441" s="70"/>
      <c r="T441" s="70"/>
      <c r="U441" s="70"/>
      <c r="V441" s="70"/>
      <c r="W441" s="70"/>
      <c r="X441" s="70"/>
      <c r="Y441" s="70"/>
    </row>
    <row r="442" spans="1:25" x14ac:dyDescent="0.25">
      <c r="A442" s="36"/>
      <c r="J442" s="67"/>
      <c r="N442" s="69"/>
      <c r="O442" s="69"/>
      <c r="S442" s="70"/>
      <c r="T442" s="70"/>
      <c r="U442" s="70"/>
      <c r="V442" s="70"/>
      <c r="W442" s="70"/>
      <c r="X442" s="70"/>
      <c r="Y442" s="70"/>
    </row>
    <row r="443" spans="1:25" x14ac:dyDescent="0.25">
      <c r="A443" s="36"/>
      <c r="J443" s="67"/>
      <c r="N443" s="69"/>
      <c r="O443" s="69"/>
      <c r="S443" s="70"/>
      <c r="T443" s="70"/>
      <c r="U443" s="70"/>
      <c r="V443" s="70"/>
      <c r="W443" s="70"/>
      <c r="X443" s="70"/>
      <c r="Y443" s="70"/>
    </row>
    <row r="444" spans="1:25" x14ac:dyDescent="0.25">
      <c r="A444" s="36"/>
      <c r="J444" s="67"/>
      <c r="N444" s="69"/>
      <c r="O444" s="69"/>
      <c r="S444" s="70"/>
      <c r="T444" s="70"/>
      <c r="U444" s="70"/>
      <c r="V444" s="70"/>
      <c r="W444" s="70"/>
      <c r="X444" s="70"/>
      <c r="Y444" s="70"/>
    </row>
    <row r="445" spans="1:25" x14ac:dyDescent="0.25">
      <c r="A445" s="36"/>
      <c r="J445" s="67"/>
      <c r="N445" s="69"/>
      <c r="O445" s="69"/>
      <c r="S445" s="70"/>
      <c r="T445" s="70"/>
      <c r="U445" s="70"/>
      <c r="V445" s="70"/>
      <c r="W445" s="70"/>
      <c r="X445" s="70"/>
      <c r="Y445" s="70"/>
    </row>
    <row r="446" spans="1:25" x14ac:dyDescent="0.25">
      <c r="A446" s="36"/>
      <c r="J446" s="67"/>
      <c r="N446" s="69"/>
      <c r="O446" s="69"/>
      <c r="S446" s="70"/>
      <c r="T446" s="70"/>
      <c r="U446" s="70"/>
      <c r="V446" s="70"/>
      <c r="W446" s="70"/>
      <c r="X446" s="70"/>
      <c r="Y446" s="70"/>
    </row>
    <row r="447" spans="1:25" x14ac:dyDescent="0.25">
      <c r="A447" s="36"/>
      <c r="J447" s="67"/>
      <c r="N447" s="69"/>
      <c r="O447" s="69"/>
      <c r="S447" s="70"/>
      <c r="T447" s="70"/>
      <c r="U447" s="70"/>
      <c r="V447" s="70"/>
      <c r="W447" s="70"/>
      <c r="X447" s="70"/>
      <c r="Y447" s="70"/>
    </row>
    <row r="448" spans="1:25" x14ac:dyDescent="0.25">
      <c r="A448" s="36"/>
      <c r="J448" s="67"/>
      <c r="N448" s="69"/>
      <c r="O448" s="69"/>
      <c r="S448" s="70"/>
      <c r="T448" s="70"/>
      <c r="U448" s="70"/>
      <c r="V448" s="70"/>
      <c r="W448" s="70"/>
      <c r="X448" s="70"/>
      <c r="Y448" s="70"/>
    </row>
    <row r="449" spans="1:25" x14ac:dyDescent="0.25">
      <c r="A449" s="36"/>
      <c r="J449" s="67"/>
      <c r="N449" s="69"/>
      <c r="O449" s="69"/>
      <c r="S449" s="70"/>
      <c r="T449" s="70"/>
      <c r="U449" s="70"/>
      <c r="V449" s="70"/>
      <c r="W449" s="70"/>
      <c r="X449" s="70"/>
      <c r="Y449" s="70"/>
    </row>
    <row r="450" spans="1:25" x14ac:dyDescent="0.25">
      <c r="A450" s="36"/>
      <c r="J450" s="67"/>
      <c r="N450" s="69"/>
      <c r="O450" s="69"/>
      <c r="S450" s="70"/>
      <c r="T450" s="70"/>
      <c r="U450" s="70"/>
      <c r="V450" s="70"/>
      <c r="W450" s="70"/>
      <c r="X450" s="70"/>
      <c r="Y450" s="70"/>
    </row>
    <row r="451" spans="1:25" x14ac:dyDescent="0.25">
      <c r="A451" s="36"/>
      <c r="J451" s="67"/>
      <c r="N451" s="69"/>
      <c r="O451" s="69"/>
      <c r="S451" s="70"/>
      <c r="T451" s="70"/>
      <c r="U451" s="70"/>
      <c r="V451" s="70"/>
      <c r="W451" s="70"/>
      <c r="X451" s="70"/>
      <c r="Y451" s="70"/>
    </row>
    <row r="452" spans="1:25" x14ac:dyDescent="0.25">
      <c r="A452" s="36"/>
      <c r="J452" s="67"/>
      <c r="N452" s="69"/>
      <c r="O452" s="69"/>
      <c r="S452" s="70"/>
      <c r="T452" s="70"/>
      <c r="U452" s="70"/>
      <c r="V452" s="70"/>
      <c r="W452" s="70"/>
      <c r="X452" s="70"/>
      <c r="Y452" s="70"/>
    </row>
    <row r="453" spans="1:25" x14ac:dyDescent="0.25">
      <c r="A453" s="36"/>
      <c r="J453" s="67"/>
      <c r="N453" s="69"/>
      <c r="O453" s="69"/>
      <c r="S453" s="70"/>
      <c r="T453" s="70"/>
      <c r="U453" s="70"/>
      <c r="V453" s="70"/>
      <c r="W453" s="70"/>
      <c r="X453" s="70"/>
      <c r="Y453" s="70"/>
    </row>
    <row r="454" spans="1:25" x14ac:dyDescent="0.25">
      <c r="A454" s="36"/>
      <c r="J454" s="67"/>
      <c r="N454" s="69"/>
      <c r="O454" s="69"/>
      <c r="S454" s="70"/>
      <c r="T454" s="70"/>
      <c r="U454" s="70"/>
      <c r="V454" s="70"/>
      <c r="W454" s="70"/>
      <c r="X454" s="70"/>
      <c r="Y454" s="70"/>
    </row>
    <row r="455" spans="1:25" x14ac:dyDescent="0.25">
      <c r="A455" s="36"/>
      <c r="J455" s="67"/>
      <c r="N455" s="69"/>
      <c r="O455" s="69"/>
      <c r="S455" s="70"/>
      <c r="T455" s="70"/>
      <c r="U455" s="70"/>
      <c r="V455" s="70"/>
      <c r="W455" s="70"/>
      <c r="X455" s="70"/>
      <c r="Y455" s="70"/>
    </row>
    <row r="456" spans="1:25" x14ac:dyDescent="0.25">
      <c r="A456" s="36"/>
      <c r="J456" s="67"/>
      <c r="N456" s="69"/>
      <c r="O456" s="69"/>
      <c r="S456" s="70"/>
      <c r="T456" s="70"/>
      <c r="U456" s="70"/>
      <c r="V456" s="70"/>
      <c r="W456" s="70"/>
      <c r="X456" s="70"/>
      <c r="Y456" s="70"/>
    </row>
    <row r="457" spans="1:25" x14ac:dyDescent="0.25">
      <c r="A457" s="36"/>
      <c r="J457" s="67"/>
      <c r="N457" s="69"/>
      <c r="O457" s="69"/>
      <c r="S457" s="70"/>
      <c r="T457" s="70"/>
      <c r="U457" s="70"/>
      <c r="V457" s="70"/>
      <c r="W457" s="70"/>
      <c r="X457" s="70"/>
      <c r="Y457" s="70"/>
    </row>
    <row r="458" spans="1:25" x14ac:dyDescent="0.25">
      <c r="A458" s="36"/>
      <c r="J458" s="67"/>
      <c r="N458" s="69"/>
      <c r="O458" s="69"/>
      <c r="S458" s="70"/>
      <c r="T458" s="70"/>
      <c r="U458" s="70"/>
      <c r="V458" s="70"/>
      <c r="W458" s="70"/>
      <c r="X458" s="70"/>
      <c r="Y458" s="70"/>
    </row>
    <row r="459" spans="1:25" x14ac:dyDescent="0.25">
      <c r="A459" s="36"/>
      <c r="J459" s="67"/>
      <c r="N459" s="69"/>
      <c r="O459" s="69"/>
      <c r="S459" s="70"/>
      <c r="T459" s="70"/>
      <c r="U459" s="70"/>
      <c r="V459" s="70"/>
      <c r="W459" s="70"/>
      <c r="X459" s="70"/>
      <c r="Y459" s="70"/>
    </row>
    <row r="460" spans="1:25" x14ac:dyDescent="0.25">
      <c r="A460" s="36"/>
      <c r="J460" s="67"/>
      <c r="N460" s="69"/>
      <c r="O460" s="69"/>
      <c r="S460" s="70"/>
      <c r="T460" s="70"/>
      <c r="U460" s="70"/>
      <c r="V460" s="70"/>
      <c r="W460" s="70"/>
      <c r="X460" s="70"/>
      <c r="Y460" s="70"/>
    </row>
    <row r="461" spans="1:25" x14ac:dyDescent="0.25">
      <c r="A461" s="36"/>
      <c r="J461" s="67"/>
      <c r="N461" s="69"/>
      <c r="O461" s="69"/>
      <c r="S461" s="70"/>
      <c r="T461" s="70"/>
      <c r="U461" s="70"/>
      <c r="V461" s="70"/>
      <c r="W461" s="70"/>
      <c r="X461" s="70"/>
      <c r="Y461" s="70"/>
    </row>
    <row r="462" spans="1:25" x14ac:dyDescent="0.25">
      <c r="A462" s="36"/>
      <c r="J462" s="67"/>
      <c r="N462" s="69"/>
      <c r="O462" s="69"/>
      <c r="S462" s="70"/>
      <c r="T462" s="70"/>
      <c r="U462" s="70"/>
      <c r="V462" s="70"/>
      <c r="W462" s="70"/>
      <c r="X462" s="70"/>
      <c r="Y462" s="70"/>
    </row>
    <row r="463" spans="1:25" x14ac:dyDescent="0.25">
      <c r="A463" s="36"/>
      <c r="J463" s="67"/>
      <c r="N463" s="69"/>
      <c r="O463" s="69"/>
      <c r="S463" s="70"/>
      <c r="T463" s="70"/>
      <c r="U463" s="70"/>
      <c r="V463" s="70"/>
      <c r="W463" s="70"/>
      <c r="X463" s="70"/>
      <c r="Y463" s="70"/>
    </row>
    <row r="464" spans="1:25" x14ac:dyDescent="0.25">
      <c r="A464" s="36"/>
      <c r="J464" s="67"/>
      <c r="N464" s="69"/>
      <c r="O464" s="69"/>
      <c r="S464" s="70"/>
      <c r="T464" s="70"/>
      <c r="U464" s="70"/>
      <c r="V464" s="70"/>
      <c r="W464" s="70"/>
      <c r="X464" s="70"/>
      <c r="Y464" s="70"/>
    </row>
    <row r="465" spans="1:25" x14ac:dyDescent="0.25">
      <c r="A465" s="36"/>
      <c r="J465" s="67"/>
      <c r="N465" s="69"/>
      <c r="O465" s="69"/>
      <c r="S465" s="70"/>
      <c r="T465" s="70"/>
      <c r="U465" s="70"/>
      <c r="V465" s="70"/>
      <c r="W465" s="70"/>
      <c r="X465" s="70"/>
      <c r="Y465" s="70"/>
    </row>
    <row r="466" spans="1:25" x14ac:dyDescent="0.25">
      <c r="A466" s="36"/>
      <c r="J466" s="67"/>
      <c r="N466" s="69"/>
      <c r="O466" s="69"/>
      <c r="S466" s="70"/>
      <c r="T466" s="70"/>
      <c r="U466" s="70"/>
      <c r="V466" s="70"/>
      <c r="W466" s="70"/>
      <c r="X466" s="70"/>
      <c r="Y466" s="70"/>
    </row>
    <row r="467" spans="1:25" x14ac:dyDescent="0.25">
      <c r="A467" s="36"/>
      <c r="J467" s="67"/>
      <c r="N467" s="69"/>
      <c r="O467" s="69"/>
      <c r="S467" s="70"/>
      <c r="T467" s="70"/>
      <c r="U467" s="70"/>
      <c r="V467" s="70"/>
      <c r="W467" s="70"/>
      <c r="X467" s="70"/>
      <c r="Y467" s="70"/>
    </row>
    <row r="468" spans="1:25" x14ac:dyDescent="0.25">
      <c r="A468" s="36"/>
      <c r="J468" s="67"/>
      <c r="N468" s="69"/>
      <c r="O468" s="69"/>
      <c r="S468" s="70"/>
      <c r="T468" s="70"/>
      <c r="U468" s="70"/>
      <c r="V468" s="70"/>
      <c r="W468" s="70"/>
      <c r="X468" s="70"/>
      <c r="Y468" s="70"/>
    </row>
    <row r="469" spans="1:25" x14ac:dyDescent="0.25">
      <c r="A469" s="36"/>
      <c r="J469" s="67"/>
      <c r="N469" s="69"/>
      <c r="O469" s="69"/>
      <c r="S469" s="70"/>
      <c r="T469" s="70"/>
      <c r="U469" s="70"/>
      <c r="V469" s="70"/>
      <c r="W469" s="70"/>
      <c r="X469" s="70"/>
      <c r="Y469" s="70"/>
    </row>
    <row r="470" spans="1:25" x14ac:dyDescent="0.25">
      <c r="A470" s="36"/>
      <c r="J470" s="67"/>
      <c r="N470" s="69"/>
      <c r="O470" s="69"/>
      <c r="S470" s="70"/>
      <c r="T470" s="70"/>
      <c r="U470" s="70"/>
      <c r="V470" s="70"/>
      <c r="W470" s="70"/>
      <c r="X470" s="70"/>
      <c r="Y470" s="70"/>
    </row>
    <row r="471" spans="1:25" x14ac:dyDescent="0.25">
      <c r="A471" s="36"/>
      <c r="J471" s="67"/>
      <c r="N471" s="69"/>
      <c r="O471" s="69"/>
      <c r="S471" s="70"/>
      <c r="T471" s="70"/>
      <c r="U471" s="70"/>
      <c r="V471" s="70"/>
      <c r="W471" s="70"/>
      <c r="X471" s="70"/>
      <c r="Y471" s="70"/>
    </row>
    <row r="472" spans="1:25" x14ac:dyDescent="0.25">
      <c r="A472" s="36"/>
      <c r="J472" s="67"/>
      <c r="N472" s="69"/>
      <c r="O472" s="69"/>
      <c r="S472" s="70"/>
      <c r="T472" s="70"/>
      <c r="U472" s="70"/>
      <c r="V472" s="70"/>
      <c r="W472" s="70"/>
      <c r="X472" s="70"/>
      <c r="Y472" s="70"/>
    </row>
    <row r="473" spans="1:25" x14ac:dyDescent="0.25">
      <c r="A473" s="36"/>
      <c r="J473" s="67"/>
      <c r="N473" s="69"/>
      <c r="O473" s="69"/>
      <c r="S473" s="70"/>
      <c r="T473" s="70"/>
      <c r="U473" s="70"/>
      <c r="V473" s="70"/>
      <c r="W473" s="70"/>
      <c r="X473" s="70"/>
      <c r="Y473" s="70"/>
    </row>
    <row r="474" spans="1:25" x14ac:dyDescent="0.25">
      <c r="A474" s="36"/>
      <c r="J474" s="67"/>
      <c r="N474" s="69"/>
      <c r="O474" s="69"/>
      <c r="S474" s="70"/>
      <c r="T474" s="70"/>
      <c r="U474" s="70"/>
      <c r="V474" s="70"/>
      <c r="W474" s="70"/>
      <c r="X474" s="70"/>
      <c r="Y474" s="70"/>
    </row>
    <row r="475" spans="1:25" x14ac:dyDescent="0.25">
      <c r="A475" s="36"/>
      <c r="J475" s="67"/>
      <c r="N475" s="69"/>
      <c r="O475" s="69"/>
      <c r="S475" s="70"/>
      <c r="T475" s="70"/>
      <c r="U475" s="70"/>
      <c r="V475" s="70"/>
      <c r="W475" s="70"/>
      <c r="X475" s="70"/>
      <c r="Y475" s="70"/>
    </row>
    <row r="476" spans="1:25" x14ac:dyDescent="0.25">
      <c r="A476" s="36"/>
      <c r="J476" s="67"/>
      <c r="N476" s="69"/>
      <c r="O476" s="69"/>
      <c r="S476" s="70"/>
      <c r="T476" s="70"/>
      <c r="U476" s="70"/>
      <c r="V476" s="70"/>
      <c r="W476" s="70"/>
      <c r="X476" s="70"/>
      <c r="Y476" s="70"/>
    </row>
    <row r="477" spans="1:25" x14ac:dyDescent="0.25">
      <c r="A477" s="36"/>
      <c r="J477" s="67"/>
      <c r="N477" s="69"/>
      <c r="O477" s="69"/>
      <c r="S477" s="70"/>
      <c r="T477" s="70"/>
      <c r="U477" s="70"/>
      <c r="V477" s="70"/>
      <c r="W477" s="70"/>
      <c r="X477" s="70"/>
      <c r="Y477" s="70"/>
    </row>
    <row r="478" spans="1:25" x14ac:dyDescent="0.25">
      <c r="A478" s="36"/>
      <c r="J478" s="67"/>
      <c r="N478" s="69"/>
      <c r="O478" s="69"/>
      <c r="S478" s="70"/>
      <c r="T478" s="70"/>
      <c r="U478" s="70"/>
      <c r="V478" s="70"/>
      <c r="W478" s="70"/>
      <c r="X478" s="70"/>
      <c r="Y478" s="70"/>
    </row>
    <row r="479" spans="1:25" x14ac:dyDescent="0.25">
      <c r="A479" s="36"/>
      <c r="J479" s="67"/>
      <c r="N479" s="69"/>
      <c r="O479" s="69"/>
      <c r="S479" s="70"/>
      <c r="T479" s="70"/>
      <c r="U479" s="70"/>
      <c r="V479" s="70"/>
      <c r="W479" s="70"/>
      <c r="X479" s="70"/>
      <c r="Y479" s="70"/>
    </row>
    <row r="480" spans="1:25" x14ac:dyDescent="0.25">
      <c r="A480" s="36"/>
      <c r="J480" s="67"/>
      <c r="N480" s="69"/>
      <c r="O480" s="69"/>
      <c r="S480" s="70"/>
      <c r="T480" s="70"/>
      <c r="U480" s="70"/>
      <c r="V480" s="70"/>
      <c r="W480" s="70"/>
      <c r="X480" s="70"/>
      <c r="Y480" s="70"/>
    </row>
    <row r="481" spans="1:25" x14ac:dyDescent="0.25">
      <c r="A481" s="36"/>
      <c r="J481" s="67"/>
      <c r="N481" s="69"/>
      <c r="O481" s="69"/>
      <c r="S481" s="70"/>
      <c r="T481" s="70"/>
      <c r="U481" s="70"/>
      <c r="V481" s="70"/>
      <c r="W481" s="70"/>
      <c r="X481" s="70"/>
      <c r="Y481" s="70"/>
    </row>
    <row r="482" spans="1:25" x14ac:dyDescent="0.25">
      <c r="A482" s="36"/>
      <c r="J482" s="67"/>
      <c r="N482" s="69"/>
      <c r="O482" s="69"/>
      <c r="S482" s="70"/>
      <c r="T482" s="70"/>
      <c r="U482" s="70"/>
      <c r="V482" s="70"/>
      <c r="W482" s="70"/>
      <c r="X482" s="70"/>
      <c r="Y482" s="70"/>
    </row>
    <row r="483" spans="1:25" x14ac:dyDescent="0.25">
      <c r="A483" s="36"/>
      <c r="J483" s="67"/>
      <c r="N483" s="69"/>
      <c r="O483" s="69"/>
      <c r="S483" s="70"/>
      <c r="T483" s="70"/>
      <c r="U483" s="70"/>
      <c r="V483" s="70"/>
      <c r="W483" s="70"/>
      <c r="X483" s="70"/>
      <c r="Y483" s="70"/>
    </row>
    <row r="484" spans="1:25" x14ac:dyDescent="0.25">
      <c r="A484" s="36"/>
      <c r="J484" s="67"/>
      <c r="N484" s="69"/>
      <c r="O484" s="69"/>
      <c r="S484" s="70"/>
      <c r="T484" s="70"/>
      <c r="U484" s="70"/>
      <c r="V484" s="70"/>
      <c r="W484" s="70"/>
      <c r="X484" s="70"/>
      <c r="Y484" s="70"/>
    </row>
    <row r="485" spans="1:25" x14ac:dyDescent="0.25">
      <c r="A485" s="36"/>
      <c r="J485" s="67"/>
      <c r="N485" s="69"/>
      <c r="O485" s="69"/>
      <c r="S485" s="70"/>
      <c r="T485" s="70"/>
      <c r="U485" s="70"/>
      <c r="V485" s="70"/>
      <c r="W485" s="70"/>
      <c r="X485" s="70"/>
      <c r="Y485" s="70"/>
    </row>
    <row r="486" spans="1:25" x14ac:dyDescent="0.25">
      <c r="A486" s="36"/>
      <c r="J486" s="67"/>
      <c r="N486" s="69"/>
      <c r="O486" s="69"/>
      <c r="S486" s="70"/>
      <c r="T486" s="70"/>
      <c r="U486" s="70"/>
      <c r="V486" s="70"/>
      <c r="W486" s="70"/>
      <c r="X486" s="70"/>
      <c r="Y486" s="70"/>
    </row>
    <row r="487" spans="1:25" x14ac:dyDescent="0.25">
      <c r="A487" s="36"/>
      <c r="J487" s="67"/>
      <c r="N487" s="69"/>
      <c r="O487" s="69"/>
      <c r="S487" s="70"/>
      <c r="T487" s="70"/>
      <c r="U487" s="70"/>
      <c r="V487" s="70"/>
      <c r="W487" s="70"/>
      <c r="X487" s="70"/>
      <c r="Y487" s="70"/>
    </row>
    <row r="488" spans="1:25" x14ac:dyDescent="0.25">
      <c r="A488" s="36"/>
      <c r="J488" s="67"/>
      <c r="N488" s="69"/>
      <c r="O488" s="69"/>
      <c r="S488" s="70"/>
      <c r="T488" s="70"/>
      <c r="U488" s="70"/>
      <c r="V488" s="70"/>
      <c r="W488" s="70"/>
      <c r="X488" s="70"/>
      <c r="Y488" s="70"/>
    </row>
    <row r="489" spans="1:25" x14ac:dyDescent="0.25">
      <c r="A489" s="36"/>
      <c r="J489" s="67"/>
      <c r="N489" s="69"/>
      <c r="O489" s="69"/>
      <c r="S489" s="70"/>
      <c r="T489" s="70"/>
      <c r="U489" s="70"/>
      <c r="V489" s="70"/>
      <c r="W489" s="70"/>
      <c r="X489" s="70"/>
      <c r="Y489" s="70"/>
    </row>
    <row r="490" spans="1:25" x14ac:dyDescent="0.25">
      <c r="A490" s="36"/>
      <c r="J490" s="67"/>
      <c r="N490" s="69"/>
      <c r="O490" s="69"/>
      <c r="S490" s="70"/>
      <c r="T490" s="70"/>
      <c r="U490" s="70"/>
      <c r="V490" s="70"/>
      <c r="W490" s="70"/>
      <c r="X490" s="70"/>
      <c r="Y490" s="70"/>
    </row>
    <row r="491" spans="1:25" x14ac:dyDescent="0.25">
      <c r="A491" s="36"/>
      <c r="J491" s="67"/>
      <c r="N491" s="69"/>
      <c r="O491" s="69"/>
      <c r="S491" s="70"/>
      <c r="T491" s="70"/>
      <c r="U491" s="70"/>
      <c r="V491" s="70"/>
      <c r="W491" s="70"/>
      <c r="X491" s="70"/>
      <c r="Y491" s="70"/>
    </row>
    <row r="492" spans="1:25" x14ac:dyDescent="0.25">
      <c r="A492" s="36"/>
      <c r="J492" s="67"/>
      <c r="N492" s="69"/>
      <c r="O492" s="69"/>
      <c r="S492" s="70"/>
      <c r="T492" s="70"/>
      <c r="U492" s="70"/>
      <c r="V492" s="70"/>
      <c r="W492" s="70"/>
      <c r="X492" s="70"/>
      <c r="Y492" s="70"/>
    </row>
    <row r="493" spans="1:25" x14ac:dyDescent="0.25">
      <c r="A493" s="36"/>
      <c r="J493" s="67"/>
      <c r="N493" s="69"/>
      <c r="O493" s="69"/>
      <c r="S493" s="70"/>
      <c r="T493" s="70"/>
      <c r="U493" s="70"/>
      <c r="V493" s="70"/>
      <c r="W493" s="70"/>
      <c r="X493" s="70"/>
      <c r="Y493" s="70"/>
    </row>
    <row r="494" spans="1:25" x14ac:dyDescent="0.25">
      <c r="A494" s="36"/>
      <c r="J494" s="67"/>
      <c r="N494" s="69"/>
      <c r="O494" s="69"/>
      <c r="S494" s="70"/>
      <c r="T494" s="70"/>
      <c r="U494" s="70"/>
      <c r="V494" s="70"/>
      <c r="W494" s="70"/>
      <c r="X494" s="70"/>
      <c r="Y494" s="70"/>
    </row>
    <row r="495" spans="1:25" x14ac:dyDescent="0.25">
      <c r="A495" s="36"/>
      <c r="J495" s="67"/>
      <c r="N495" s="69"/>
      <c r="O495" s="69"/>
      <c r="S495" s="70"/>
      <c r="T495" s="70"/>
      <c r="U495" s="70"/>
      <c r="V495" s="70"/>
      <c r="W495" s="70"/>
      <c r="X495" s="70"/>
      <c r="Y495" s="70"/>
    </row>
    <row r="496" spans="1:25" x14ac:dyDescent="0.25">
      <c r="A496" s="36"/>
      <c r="J496" s="67"/>
      <c r="N496" s="69"/>
      <c r="O496" s="69"/>
      <c r="S496" s="70"/>
      <c r="T496" s="70"/>
      <c r="U496" s="70"/>
      <c r="V496" s="70"/>
      <c r="W496" s="70"/>
      <c r="X496" s="70"/>
      <c r="Y496" s="70"/>
    </row>
    <row r="497" spans="1:25" x14ac:dyDescent="0.25">
      <c r="A497" s="36"/>
      <c r="J497" s="67"/>
      <c r="N497" s="69"/>
      <c r="O497" s="69"/>
      <c r="S497" s="70"/>
      <c r="T497" s="70"/>
      <c r="U497" s="70"/>
      <c r="V497" s="70"/>
      <c r="W497" s="70"/>
      <c r="X497" s="70"/>
      <c r="Y497" s="70"/>
    </row>
    <row r="498" spans="1:25" x14ac:dyDescent="0.25">
      <c r="A498" s="36"/>
      <c r="J498" s="67"/>
      <c r="N498" s="69"/>
      <c r="O498" s="69"/>
      <c r="S498" s="70"/>
      <c r="T498" s="70"/>
      <c r="U498" s="70"/>
      <c r="V498" s="70"/>
      <c r="W498" s="70"/>
      <c r="X498" s="70"/>
      <c r="Y498" s="70"/>
    </row>
    <row r="499" spans="1:25" x14ac:dyDescent="0.25">
      <c r="A499" s="36"/>
      <c r="J499" s="67"/>
      <c r="N499" s="69"/>
      <c r="O499" s="69"/>
      <c r="S499" s="70"/>
      <c r="T499" s="70"/>
      <c r="U499" s="70"/>
      <c r="V499" s="70"/>
      <c r="W499" s="70"/>
      <c r="X499" s="70"/>
      <c r="Y499" s="70"/>
    </row>
    <row r="500" spans="1:25" x14ac:dyDescent="0.25">
      <c r="A500" s="36"/>
      <c r="J500" s="67"/>
      <c r="N500" s="69"/>
      <c r="O500" s="69"/>
      <c r="S500" s="70"/>
      <c r="T500" s="70"/>
      <c r="U500" s="70"/>
      <c r="V500" s="70"/>
      <c r="W500" s="70"/>
      <c r="X500" s="70"/>
      <c r="Y500" s="70"/>
    </row>
    <row r="501" spans="1:25" x14ac:dyDescent="0.25">
      <c r="A501" s="36"/>
      <c r="J501" s="67"/>
      <c r="N501" s="69"/>
      <c r="O501" s="69"/>
      <c r="S501" s="70"/>
      <c r="T501" s="70"/>
      <c r="U501" s="70"/>
      <c r="V501" s="70"/>
      <c r="W501" s="70"/>
      <c r="X501" s="70"/>
      <c r="Y501" s="70"/>
    </row>
    <row r="502" spans="1:25" x14ac:dyDescent="0.25">
      <c r="A502" s="36"/>
      <c r="J502" s="67"/>
      <c r="N502" s="69"/>
      <c r="O502" s="69"/>
      <c r="S502" s="70"/>
      <c r="T502" s="70"/>
      <c r="U502" s="70"/>
      <c r="V502" s="70"/>
      <c r="W502" s="70"/>
      <c r="X502" s="70"/>
      <c r="Y502" s="70"/>
    </row>
    <row r="503" spans="1:25" x14ac:dyDescent="0.25">
      <c r="A503" s="36"/>
      <c r="J503" s="67"/>
      <c r="N503" s="69"/>
      <c r="O503" s="69"/>
      <c r="S503" s="70"/>
      <c r="T503" s="70"/>
      <c r="U503" s="70"/>
      <c r="V503" s="70"/>
      <c r="W503" s="70"/>
      <c r="X503" s="70"/>
      <c r="Y503" s="70"/>
    </row>
    <row r="504" spans="1:25" x14ac:dyDescent="0.25">
      <c r="A504" s="36"/>
      <c r="J504" s="67"/>
      <c r="N504" s="69"/>
      <c r="O504" s="69"/>
      <c r="S504" s="70"/>
      <c r="T504" s="70"/>
      <c r="U504" s="70"/>
      <c r="V504" s="70"/>
      <c r="W504" s="70"/>
      <c r="X504" s="70"/>
      <c r="Y504" s="70"/>
    </row>
    <row r="505" spans="1:25" x14ac:dyDescent="0.25">
      <c r="A505" s="36"/>
      <c r="J505" s="67"/>
      <c r="N505" s="69"/>
      <c r="O505" s="69"/>
      <c r="S505" s="70"/>
      <c r="T505" s="70"/>
      <c r="U505" s="70"/>
      <c r="V505" s="70"/>
      <c r="W505" s="70"/>
      <c r="X505" s="70"/>
      <c r="Y505" s="70"/>
    </row>
    <row r="506" spans="1:25" x14ac:dyDescent="0.25">
      <c r="A506" s="36"/>
      <c r="J506" s="67"/>
      <c r="N506" s="69"/>
      <c r="O506" s="69"/>
      <c r="S506" s="70"/>
      <c r="T506" s="70"/>
      <c r="U506" s="70"/>
      <c r="V506" s="70"/>
      <c r="W506" s="70"/>
      <c r="X506" s="70"/>
      <c r="Y506" s="70"/>
    </row>
    <row r="507" spans="1:25" x14ac:dyDescent="0.25">
      <c r="A507" s="36"/>
      <c r="J507" s="67"/>
      <c r="N507" s="69"/>
      <c r="O507" s="69"/>
      <c r="S507" s="70"/>
      <c r="T507" s="70"/>
      <c r="U507" s="70"/>
      <c r="V507" s="70"/>
      <c r="W507" s="70"/>
      <c r="X507" s="70"/>
      <c r="Y507" s="70"/>
    </row>
    <row r="508" spans="1:25" x14ac:dyDescent="0.25">
      <c r="A508" s="36"/>
      <c r="J508" s="67"/>
      <c r="N508" s="69"/>
      <c r="O508" s="69"/>
      <c r="S508" s="70"/>
      <c r="T508" s="70"/>
      <c r="U508" s="70"/>
      <c r="V508" s="70"/>
      <c r="W508" s="70"/>
      <c r="X508" s="70"/>
      <c r="Y508" s="70"/>
    </row>
    <row r="509" spans="1:25" x14ac:dyDescent="0.25">
      <c r="A509" s="36"/>
      <c r="J509" s="67"/>
      <c r="N509" s="69"/>
      <c r="O509" s="69"/>
      <c r="S509" s="70"/>
      <c r="T509" s="70"/>
      <c r="U509" s="70"/>
      <c r="V509" s="70"/>
      <c r="W509" s="70"/>
      <c r="X509" s="70"/>
      <c r="Y509" s="70"/>
    </row>
    <row r="510" spans="1:25" x14ac:dyDescent="0.25">
      <c r="A510" s="36"/>
      <c r="J510" s="67"/>
      <c r="N510" s="69"/>
      <c r="O510" s="69"/>
      <c r="S510" s="70"/>
      <c r="T510" s="70"/>
      <c r="U510" s="70"/>
      <c r="V510" s="70"/>
      <c r="W510" s="70"/>
      <c r="X510" s="70"/>
      <c r="Y510" s="70"/>
    </row>
    <row r="511" spans="1:25" x14ac:dyDescent="0.25">
      <c r="A511" s="36"/>
      <c r="J511" s="67"/>
      <c r="N511" s="69"/>
      <c r="O511" s="69"/>
      <c r="S511" s="70"/>
      <c r="T511" s="70"/>
      <c r="U511" s="70"/>
      <c r="V511" s="70"/>
      <c r="W511" s="70"/>
      <c r="X511" s="70"/>
      <c r="Y511" s="70"/>
    </row>
    <row r="512" spans="1:25" x14ac:dyDescent="0.25">
      <c r="A512" s="36"/>
      <c r="J512" s="67"/>
      <c r="N512" s="69"/>
      <c r="O512" s="69"/>
      <c r="S512" s="70"/>
      <c r="T512" s="70"/>
      <c r="U512" s="70"/>
      <c r="V512" s="70"/>
      <c r="W512" s="70"/>
      <c r="X512" s="70"/>
      <c r="Y512" s="70"/>
    </row>
    <row r="513" spans="1:25" x14ac:dyDescent="0.25">
      <c r="A513" s="36"/>
      <c r="J513" s="67"/>
      <c r="N513" s="69"/>
      <c r="O513" s="69"/>
      <c r="S513" s="70"/>
      <c r="T513" s="70"/>
      <c r="U513" s="70"/>
      <c r="V513" s="70"/>
      <c r="W513" s="70"/>
      <c r="X513" s="70"/>
      <c r="Y513" s="70"/>
    </row>
    <row r="514" spans="1:25" x14ac:dyDescent="0.25">
      <c r="A514" s="36"/>
      <c r="J514" s="67"/>
      <c r="N514" s="69"/>
      <c r="O514" s="69"/>
      <c r="S514" s="70"/>
      <c r="T514" s="70"/>
      <c r="U514" s="70"/>
      <c r="V514" s="70"/>
      <c r="W514" s="70"/>
      <c r="X514" s="70"/>
      <c r="Y514" s="70"/>
    </row>
    <row r="515" spans="1:25" x14ac:dyDescent="0.25">
      <c r="A515" s="36"/>
      <c r="J515" s="67"/>
      <c r="N515" s="69"/>
      <c r="O515" s="69"/>
      <c r="S515" s="70"/>
      <c r="T515" s="70"/>
      <c r="U515" s="70"/>
      <c r="V515" s="70"/>
      <c r="W515" s="70"/>
      <c r="X515" s="70"/>
      <c r="Y515" s="70"/>
    </row>
    <row r="516" spans="1:25" x14ac:dyDescent="0.25">
      <c r="A516" s="36"/>
      <c r="J516" s="67"/>
      <c r="N516" s="69"/>
      <c r="O516" s="69"/>
      <c r="S516" s="70"/>
      <c r="T516" s="70"/>
      <c r="U516" s="70"/>
      <c r="V516" s="70"/>
      <c r="W516" s="70"/>
      <c r="X516" s="70"/>
      <c r="Y516" s="70"/>
    </row>
    <row r="517" spans="1:25" x14ac:dyDescent="0.25">
      <c r="A517" s="36"/>
      <c r="J517" s="67"/>
      <c r="N517" s="69"/>
      <c r="O517" s="69"/>
      <c r="S517" s="70"/>
      <c r="T517" s="70"/>
      <c r="U517" s="70"/>
      <c r="V517" s="70"/>
      <c r="W517" s="70"/>
      <c r="X517" s="70"/>
      <c r="Y517" s="70"/>
    </row>
    <row r="518" spans="1:25" x14ac:dyDescent="0.25">
      <c r="A518" s="36"/>
      <c r="J518" s="67"/>
      <c r="N518" s="69"/>
      <c r="O518" s="69"/>
      <c r="S518" s="70"/>
      <c r="T518" s="70"/>
      <c r="U518" s="70"/>
      <c r="V518" s="70"/>
      <c r="W518" s="70"/>
      <c r="X518" s="70"/>
      <c r="Y518" s="70"/>
    </row>
    <row r="519" spans="1:25" x14ac:dyDescent="0.25">
      <c r="A519" s="36"/>
      <c r="J519" s="67"/>
      <c r="N519" s="69"/>
      <c r="O519" s="69"/>
      <c r="S519" s="70"/>
      <c r="T519" s="70"/>
      <c r="U519" s="70"/>
      <c r="V519" s="70"/>
      <c r="W519" s="70"/>
      <c r="X519" s="70"/>
      <c r="Y519" s="70"/>
    </row>
    <row r="520" spans="1:25" x14ac:dyDescent="0.25">
      <c r="A520" s="36"/>
      <c r="J520" s="67"/>
      <c r="N520" s="69"/>
      <c r="O520" s="69"/>
      <c r="S520" s="70"/>
      <c r="T520" s="70"/>
      <c r="U520" s="70"/>
      <c r="V520" s="70"/>
      <c r="W520" s="70"/>
      <c r="X520" s="70"/>
      <c r="Y520" s="70"/>
    </row>
    <row r="521" spans="1:25" x14ac:dyDescent="0.25">
      <c r="A521" s="36"/>
      <c r="J521" s="67"/>
      <c r="N521" s="69"/>
      <c r="O521" s="69"/>
      <c r="S521" s="70"/>
      <c r="T521" s="70"/>
      <c r="U521" s="70"/>
      <c r="V521" s="70"/>
      <c r="W521" s="70"/>
      <c r="X521" s="70"/>
      <c r="Y521" s="70"/>
    </row>
    <row r="522" spans="1:25" x14ac:dyDescent="0.25">
      <c r="A522" s="36"/>
      <c r="J522" s="67"/>
      <c r="N522" s="69"/>
      <c r="O522" s="69"/>
      <c r="S522" s="70"/>
      <c r="T522" s="70"/>
      <c r="U522" s="70"/>
      <c r="V522" s="70"/>
      <c r="W522" s="70"/>
      <c r="X522" s="70"/>
      <c r="Y522" s="70"/>
    </row>
    <row r="523" spans="1:25" x14ac:dyDescent="0.25">
      <c r="A523" s="36"/>
      <c r="J523" s="67"/>
      <c r="N523" s="69"/>
      <c r="O523" s="69"/>
      <c r="S523" s="70"/>
      <c r="T523" s="70"/>
      <c r="U523" s="70"/>
      <c r="V523" s="70"/>
      <c r="W523" s="70"/>
      <c r="X523" s="70"/>
      <c r="Y523" s="70"/>
    </row>
    <row r="524" spans="1:25" x14ac:dyDescent="0.25">
      <c r="A524" s="36"/>
      <c r="J524" s="67"/>
      <c r="N524" s="69"/>
      <c r="O524" s="69"/>
      <c r="S524" s="70"/>
      <c r="T524" s="70"/>
      <c r="U524" s="70"/>
      <c r="V524" s="70"/>
      <c r="W524" s="70"/>
      <c r="X524" s="70"/>
      <c r="Y524" s="70"/>
    </row>
    <row r="525" spans="1:25" x14ac:dyDescent="0.25">
      <c r="A525" s="36"/>
      <c r="J525" s="67"/>
      <c r="N525" s="69"/>
      <c r="O525" s="69"/>
      <c r="S525" s="70"/>
      <c r="T525" s="70"/>
      <c r="U525" s="70"/>
      <c r="V525" s="70"/>
      <c r="W525" s="70"/>
      <c r="X525" s="70"/>
      <c r="Y525" s="70"/>
    </row>
    <row r="526" spans="1:25" x14ac:dyDescent="0.25">
      <c r="A526" s="36"/>
      <c r="J526" s="67"/>
      <c r="N526" s="69"/>
      <c r="O526" s="69"/>
      <c r="S526" s="70"/>
      <c r="T526" s="70"/>
      <c r="U526" s="70"/>
      <c r="V526" s="70"/>
      <c r="W526" s="70"/>
      <c r="X526" s="70"/>
      <c r="Y526" s="70"/>
    </row>
    <row r="527" spans="1:25" x14ac:dyDescent="0.25">
      <c r="A527" s="36"/>
      <c r="J527" s="67"/>
      <c r="N527" s="69"/>
      <c r="O527" s="69"/>
      <c r="S527" s="70"/>
      <c r="T527" s="70"/>
      <c r="U527" s="70"/>
      <c r="V527" s="70"/>
      <c r="W527" s="70"/>
      <c r="X527" s="70"/>
      <c r="Y527" s="70"/>
    </row>
    <row r="528" spans="1:25" x14ac:dyDescent="0.25">
      <c r="A528" s="36"/>
      <c r="J528" s="67"/>
      <c r="N528" s="69"/>
      <c r="O528" s="69"/>
      <c r="S528" s="70"/>
      <c r="T528" s="70"/>
      <c r="U528" s="70"/>
      <c r="V528" s="70"/>
      <c r="W528" s="70"/>
      <c r="X528" s="70"/>
      <c r="Y528" s="70"/>
    </row>
    <row r="529" spans="1:25" x14ac:dyDescent="0.25">
      <c r="A529" s="36"/>
      <c r="J529" s="67"/>
      <c r="N529" s="69"/>
      <c r="O529" s="69"/>
      <c r="S529" s="70"/>
      <c r="T529" s="70"/>
      <c r="U529" s="70"/>
      <c r="V529" s="70"/>
      <c r="W529" s="70"/>
      <c r="X529" s="70"/>
      <c r="Y529" s="70"/>
    </row>
    <row r="530" spans="1:25" x14ac:dyDescent="0.25">
      <c r="A530" s="36"/>
      <c r="J530" s="67"/>
      <c r="N530" s="69"/>
      <c r="O530" s="69"/>
      <c r="S530" s="70"/>
      <c r="T530" s="70"/>
      <c r="U530" s="70"/>
      <c r="V530" s="70"/>
      <c r="W530" s="70"/>
      <c r="X530" s="70"/>
      <c r="Y530" s="70"/>
    </row>
    <row r="531" spans="1:25" x14ac:dyDescent="0.25">
      <c r="A531" s="36"/>
      <c r="J531" s="67"/>
      <c r="N531" s="69"/>
      <c r="O531" s="69"/>
      <c r="S531" s="70"/>
      <c r="T531" s="70"/>
      <c r="U531" s="70"/>
      <c r="V531" s="70"/>
      <c r="W531" s="70"/>
      <c r="X531" s="70"/>
      <c r="Y531" s="70"/>
    </row>
    <row r="532" spans="1:25" x14ac:dyDescent="0.25">
      <c r="A532" s="36"/>
      <c r="J532" s="67"/>
      <c r="N532" s="69"/>
      <c r="O532" s="69"/>
      <c r="S532" s="70"/>
      <c r="T532" s="70"/>
      <c r="U532" s="70"/>
      <c r="V532" s="70"/>
      <c r="W532" s="70"/>
      <c r="X532" s="70"/>
      <c r="Y532" s="70"/>
    </row>
    <row r="533" spans="1:25" x14ac:dyDescent="0.25">
      <c r="A533" s="36"/>
      <c r="J533" s="67"/>
      <c r="N533" s="69"/>
      <c r="O533" s="69"/>
      <c r="S533" s="70"/>
      <c r="T533" s="70"/>
      <c r="U533" s="70"/>
      <c r="V533" s="70"/>
      <c r="W533" s="70"/>
      <c r="X533" s="70"/>
      <c r="Y533" s="70"/>
    </row>
    <row r="534" spans="1:25" x14ac:dyDescent="0.25">
      <c r="A534" s="36"/>
      <c r="J534" s="67"/>
      <c r="N534" s="69"/>
      <c r="O534" s="69"/>
      <c r="S534" s="70"/>
      <c r="T534" s="70"/>
      <c r="U534" s="70"/>
      <c r="V534" s="70"/>
      <c r="W534" s="70"/>
      <c r="X534" s="70"/>
      <c r="Y534" s="70"/>
    </row>
    <row r="535" spans="1:25" x14ac:dyDescent="0.25">
      <c r="A535" s="36"/>
      <c r="J535" s="67"/>
      <c r="N535" s="69"/>
      <c r="O535" s="69"/>
      <c r="S535" s="70"/>
      <c r="T535" s="70"/>
      <c r="U535" s="70"/>
      <c r="V535" s="70"/>
      <c r="W535" s="70"/>
      <c r="X535" s="70"/>
      <c r="Y535" s="70"/>
    </row>
    <row r="536" spans="1:25" x14ac:dyDescent="0.25">
      <c r="A536" s="36"/>
      <c r="J536" s="67"/>
      <c r="N536" s="69"/>
      <c r="O536" s="69"/>
      <c r="S536" s="70"/>
      <c r="T536" s="70"/>
      <c r="U536" s="70"/>
      <c r="V536" s="70"/>
      <c r="W536" s="70"/>
      <c r="X536" s="70"/>
      <c r="Y536" s="70"/>
    </row>
    <row r="537" spans="1:25" x14ac:dyDescent="0.25">
      <c r="A537" s="36"/>
      <c r="J537" s="67"/>
      <c r="N537" s="69"/>
      <c r="O537" s="69"/>
      <c r="S537" s="70"/>
      <c r="T537" s="70"/>
      <c r="U537" s="70"/>
      <c r="V537" s="70"/>
      <c r="W537" s="70"/>
      <c r="X537" s="70"/>
      <c r="Y537" s="70"/>
    </row>
    <row r="538" spans="1:25" x14ac:dyDescent="0.25">
      <c r="A538" s="36"/>
      <c r="J538" s="67"/>
      <c r="N538" s="69"/>
      <c r="O538" s="69"/>
      <c r="S538" s="70"/>
      <c r="T538" s="70"/>
      <c r="U538" s="70"/>
      <c r="V538" s="70"/>
      <c r="W538" s="70"/>
      <c r="X538" s="70"/>
      <c r="Y538" s="70"/>
    </row>
    <row r="539" spans="1:25" x14ac:dyDescent="0.25">
      <c r="A539" s="36"/>
      <c r="J539" s="67"/>
      <c r="N539" s="69"/>
      <c r="O539" s="69"/>
      <c r="S539" s="70"/>
      <c r="T539" s="70"/>
      <c r="U539" s="70"/>
      <c r="V539" s="70"/>
      <c r="W539" s="70"/>
      <c r="X539" s="70"/>
      <c r="Y539" s="70"/>
    </row>
    <row r="540" spans="1:25" x14ac:dyDescent="0.25">
      <c r="A540" s="36"/>
      <c r="J540" s="67"/>
      <c r="N540" s="69"/>
      <c r="O540" s="69"/>
      <c r="S540" s="70"/>
      <c r="T540" s="70"/>
      <c r="U540" s="70"/>
      <c r="V540" s="70"/>
      <c r="W540" s="70"/>
      <c r="X540" s="70"/>
      <c r="Y540" s="70"/>
    </row>
    <row r="541" spans="1:25" x14ac:dyDescent="0.25">
      <c r="A541" s="36"/>
      <c r="J541" s="67"/>
      <c r="N541" s="69"/>
      <c r="O541" s="69"/>
      <c r="S541" s="70"/>
      <c r="T541" s="70"/>
      <c r="U541" s="70"/>
      <c r="V541" s="70"/>
      <c r="W541" s="70"/>
      <c r="X541" s="70"/>
      <c r="Y541" s="70"/>
    </row>
    <row r="542" spans="1:25" x14ac:dyDescent="0.25">
      <c r="A542" s="36"/>
      <c r="J542" s="67"/>
      <c r="N542" s="69"/>
      <c r="O542" s="69"/>
      <c r="S542" s="70"/>
      <c r="T542" s="70"/>
      <c r="U542" s="70"/>
      <c r="V542" s="70"/>
      <c r="W542" s="70"/>
      <c r="X542" s="70"/>
      <c r="Y542" s="70"/>
    </row>
    <row r="543" spans="1:25" x14ac:dyDescent="0.25">
      <c r="A543" s="36"/>
      <c r="J543" s="67"/>
      <c r="N543" s="69"/>
      <c r="O543" s="69"/>
      <c r="S543" s="70"/>
      <c r="T543" s="70"/>
      <c r="U543" s="70"/>
      <c r="V543" s="70"/>
      <c r="W543" s="70"/>
      <c r="X543" s="70"/>
      <c r="Y543" s="70"/>
    </row>
    <row r="544" spans="1:25" x14ac:dyDescent="0.25">
      <c r="A544" s="36"/>
      <c r="J544" s="67"/>
      <c r="N544" s="69"/>
      <c r="O544" s="69"/>
      <c r="S544" s="70"/>
      <c r="T544" s="70"/>
      <c r="U544" s="70"/>
      <c r="V544" s="70"/>
      <c r="W544" s="70"/>
      <c r="X544" s="70"/>
      <c r="Y544" s="70"/>
    </row>
    <row r="545" spans="1:25" x14ac:dyDescent="0.25">
      <c r="A545" s="36"/>
      <c r="J545" s="67"/>
      <c r="N545" s="69"/>
      <c r="O545" s="69"/>
      <c r="S545" s="70"/>
      <c r="T545" s="70"/>
      <c r="U545" s="70"/>
      <c r="V545" s="70"/>
      <c r="W545" s="70"/>
      <c r="X545" s="70"/>
      <c r="Y545" s="70"/>
    </row>
    <row r="546" spans="1:25" x14ac:dyDescent="0.25">
      <c r="A546" s="36"/>
      <c r="J546" s="67"/>
      <c r="N546" s="69"/>
      <c r="O546" s="69"/>
      <c r="S546" s="70"/>
      <c r="T546" s="70"/>
      <c r="U546" s="70"/>
      <c r="V546" s="70"/>
      <c r="W546" s="70"/>
      <c r="X546" s="70"/>
      <c r="Y546" s="70"/>
    </row>
    <row r="547" spans="1:25" x14ac:dyDescent="0.25">
      <c r="A547" s="36"/>
      <c r="J547" s="67"/>
      <c r="N547" s="69"/>
      <c r="O547" s="69"/>
      <c r="S547" s="70"/>
      <c r="T547" s="70"/>
      <c r="U547" s="70"/>
      <c r="V547" s="70"/>
      <c r="W547" s="70"/>
      <c r="X547" s="70"/>
      <c r="Y547" s="70"/>
    </row>
    <row r="548" spans="1:25" x14ac:dyDescent="0.25">
      <c r="A548" s="36"/>
      <c r="J548" s="67"/>
      <c r="N548" s="69"/>
      <c r="O548" s="69"/>
      <c r="S548" s="70"/>
      <c r="T548" s="70"/>
      <c r="U548" s="70"/>
      <c r="V548" s="70"/>
      <c r="W548" s="70"/>
      <c r="X548" s="70"/>
      <c r="Y548" s="70"/>
    </row>
    <row r="549" spans="1:25" x14ac:dyDescent="0.25">
      <c r="A549" s="36"/>
      <c r="J549" s="67"/>
      <c r="N549" s="69"/>
      <c r="O549" s="69"/>
      <c r="S549" s="70"/>
      <c r="T549" s="70"/>
      <c r="U549" s="70"/>
      <c r="V549" s="70"/>
      <c r="W549" s="70"/>
      <c r="X549" s="70"/>
      <c r="Y549" s="70"/>
    </row>
    <row r="550" spans="1:25" x14ac:dyDescent="0.25">
      <c r="A550" s="36"/>
      <c r="J550" s="67"/>
      <c r="N550" s="69"/>
      <c r="O550" s="69"/>
      <c r="S550" s="70"/>
      <c r="T550" s="70"/>
      <c r="U550" s="70"/>
      <c r="V550" s="70"/>
      <c r="W550" s="70"/>
      <c r="X550" s="70"/>
      <c r="Y550" s="70"/>
    </row>
    <row r="551" spans="1:25" x14ac:dyDescent="0.25">
      <c r="A551" s="36"/>
      <c r="J551" s="67"/>
      <c r="N551" s="69"/>
      <c r="O551" s="69"/>
      <c r="S551" s="70"/>
      <c r="T551" s="70"/>
      <c r="U551" s="70"/>
      <c r="V551" s="70"/>
      <c r="W551" s="70"/>
      <c r="X551" s="70"/>
      <c r="Y551" s="70"/>
    </row>
    <row r="552" spans="1:25" x14ac:dyDescent="0.25">
      <c r="A552" s="36"/>
      <c r="J552" s="67"/>
      <c r="N552" s="69"/>
      <c r="O552" s="69"/>
      <c r="S552" s="70"/>
      <c r="T552" s="70"/>
      <c r="U552" s="70"/>
      <c r="V552" s="70"/>
      <c r="W552" s="70"/>
      <c r="X552" s="70"/>
      <c r="Y552" s="70"/>
    </row>
    <row r="553" spans="1:25" x14ac:dyDescent="0.25">
      <c r="A553" s="36"/>
      <c r="J553" s="67"/>
      <c r="N553" s="69"/>
      <c r="O553" s="69"/>
      <c r="S553" s="70"/>
      <c r="T553" s="70"/>
      <c r="U553" s="70"/>
      <c r="V553" s="70"/>
      <c r="W553" s="70"/>
      <c r="X553" s="70"/>
      <c r="Y553" s="70"/>
    </row>
    <row r="554" spans="1:25" x14ac:dyDescent="0.25">
      <c r="A554" s="36"/>
      <c r="J554" s="67"/>
      <c r="N554" s="69"/>
      <c r="O554" s="69"/>
      <c r="S554" s="70"/>
      <c r="T554" s="70"/>
      <c r="U554" s="70"/>
      <c r="V554" s="70"/>
      <c r="W554" s="70"/>
      <c r="X554" s="70"/>
      <c r="Y554" s="70"/>
    </row>
    <row r="555" spans="1:25" x14ac:dyDescent="0.25">
      <c r="A555" s="36"/>
      <c r="J555" s="67"/>
      <c r="N555" s="69"/>
      <c r="O555" s="69"/>
      <c r="S555" s="70"/>
      <c r="T555" s="70"/>
      <c r="U555" s="70"/>
      <c r="V555" s="70"/>
      <c r="W555" s="70"/>
      <c r="X555" s="70"/>
      <c r="Y555" s="70"/>
    </row>
    <row r="556" spans="1:25" x14ac:dyDescent="0.25">
      <c r="A556" s="36"/>
      <c r="J556" s="67"/>
      <c r="N556" s="69"/>
      <c r="O556" s="69"/>
      <c r="S556" s="70"/>
      <c r="T556" s="70"/>
      <c r="U556" s="70"/>
      <c r="V556" s="70"/>
      <c r="W556" s="70"/>
      <c r="X556" s="70"/>
      <c r="Y556" s="70"/>
    </row>
    <row r="557" spans="1:25" x14ac:dyDescent="0.25">
      <c r="A557" s="36"/>
      <c r="J557" s="67"/>
      <c r="N557" s="69"/>
      <c r="O557" s="69"/>
      <c r="S557" s="70"/>
      <c r="T557" s="70"/>
      <c r="U557" s="70"/>
      <c r="V557" s="70"/>
      <c r="W557" s="70"/>
      <c r="X557" s="70"/>
      <c r="Y557" s="70"/>
    </row>
    <row r="558" spans="1:25" x14ac:dyDescent="0.25">
      <c r="A558" s="36"/>
      <c r="J558" s="67"/>
      <c r="N558" s="69"/>
      <c r="O558" s="69"/>
      <c r="S558" s="70"/>
      <c r="T558" s="70"/>
      <c r="U558" s="70"/>
      <c r="V558" s="70"/>
      <c r="W558" s="70"/>
      <c r="X558" s="70"/>
      <c r="Y558" s="70"/>
    </row>
    <row r="559" spans="1:25" x14ac:dyDescent="0.25">
      <c r="A559" s="36"/>
      <c r="J559" s="67"/>
      <c r="N559" s="69"/>
      <c r="O559" s="69"/>
      <c r="S559" s="70"/>
      <c r="T559" s="70"/>
      <c r="U559" s="70"/>
      <c r="V559" s="70"/>
      <c r="W559" s="70"/>
      <c r="X559" s="70"/>
      <c r="Y559" s="70"/>
    </row>
    <row r="560" spans="1:25" x14ac:dyDescent="0.25">
      <c r="A560" s="36"/>
      <c r="J560" s="67"/>
      <c r="N560" s="69"/>
      <c r="O560" s="69"/>
      <c r="S560" s="70"/>
      <c r="T560" s="70"/>
      <c r="U560" s="70"/>
      <c r="V560" s="70"/>
      <c r="W560" s="70"/>
      <c r="X560" s="70"/>
      <c r="Y560" s="70"/>
    </row>
    <row r="561" spans="1:25" x14ac:dyDescent="0.25">
      <c r="A561" s="36"/>
      <c r="J561" s="67"/>
      <c r="N561" s="69"/>
      <c r="O561" s="69"/>
      <c r="S561" s="70"/>
      <c r="T561" s="70"/>
      <c r="U561" s="70"/>
      <c r="V561" s="70"/>
      <c r="W561" s="70"/>
      <c r="X561" s="70"/>
      <c r="Y561" s="70"/>
    </row>
    <row r="562" spans="1:25" x14ac:dyDescent="0.25">
      <c r="A562" s="36"/>
      <c r="J562" s="67"/>
      <c r="N562" s="69"/>
      <c r="O562" s="69"/>
      <c r="S562" s="70"/>
      <c r="T562" s="70"/>
      <c r="U562" s="70"/>
      <c r="V562" s="70"/>
      <c r="W562" s="70"/>
      <c r="X562" s="70"/>
      <c r="Y562" s="70"/>
    </row>
    <row r="563" spans="1:25" x14ac:dyDescent="0.25">
      <c r="A563" s="36"/>
      <c r="J563" s="67"/>
      <c r="N563" s="69"/>
      <c r="O563" s="69"/>
      <c r="S563" s="70"/>
      <c r="T563" s="70"/>
      <c r="U563" s="70"/>
      <c r="V563" s="70"/>
      <c r="W563" s="70"/>
      <c r="X563" s="70"/>
      <c r="Y563" s="70"/>
    </row>
    <row r="564" spans="1:25" x14ac:dyDescent="0.25">
      <c r="A564" s="36"/>
      <c r="J564" s="67"/>
      <c r="N564" s="69"/>
      <c r="O564" s="69"/>
      <c r="S564" s="70"/>
      <c r="T564" s="70"/>
      <c r="U564" s="70"/>
      <c r="V564" s="70"/>
      <c r="W564" s="70"/>
      <c r="X564" s="70"/>
      <c r="Y564" s="70"/>
    </row>
    <row r="565" spans="1:25" x14ac:dyDescent="0.25">
      <c r="A565" s="36"/>
      <c r="J565" s="67"/>
      <c r="N565" s="69"/>
      <c r="O565" s="69"/>
      <c r="S565" s="70"/>
      <c r="T565" s="70"/>
      <c r="U565" s="70"/>
      <c r="V565" s="70"/>
      <c r="W565" s="70"/>
      <c r="X565" s="70"/>
      <c r="Y565" s="70"/>
    </row>
    <row r="566" spans="1:25" x14ac:dyDescent="0.25">
      <c r="A566" s="36"/>
      <c r="J566" s="67"/>
      <c r="N566" s="69"/>
      <c r="O566" s="69"/>
      <c r="S566" s="70"/>
      <c r="T566" s="70"/>
      <c r="U566" s="70"/>
      <c r="V566" s="70"/>
      <c r="W566" s="70"/>
      <c r="X566" s="70"/>
      <c r="Y566" s="70"/>
    </row>
    <row r="567" spans="1:25" x14ac:dyDescent="0.25">
      <c r="A567" s="36"/>
      <c r="J567" s="67"/>
      <c r="N567" s="69"/>
      <c r="O567" s="69"/>
      <c r="S567" s="70"/>
      <c r="T567" s="70"/>
      <c r="U567" s="70"/>
      <c r="V567" s="70"/>
      <c r="W567" s="70"/>
      <c r="X567" s="70"/>
      <c r="Y567" s="70"/>
    </row>
    <row r="568" spans="1:25" x14ac:dyDescent="0.25">
      <c r="A568" s="36"/>
      <c r="J568" s="67"/>
      <c r="N568" s="69"/>
      <c r="O568" s="69"/>
      <c r="S568" s="70"/>
      <c r="T568" s="70"/>
      <c r="U568" s="70"/>
      <c r="V568" s="70"/>
      <c r="W568" s="70"/>
      <c r="X568" s="70"/>
      <c r="Y568" s="70"/>
    </row>
    <row r="569" spans="1:25" x14ac:dyDescent="0.25">
      <c r="A569" s="36"/>
      <c r="J569" s="67"/>
      <c r="N569" s="69"/>
      <c r="O569" s="69"/>
      <c r="S569" s="70"/>
      <c r="T569" s="70"/>
      <c r="U569" s="70"/>
      <c r="V569" s="70"/>
      <c r="W569" s="70"/>
      <c r="X569" s="70"/>
      <c r="Y569" s="70"/>
    </row>
    <row r="570" spans="1:25" x14ac:dyDescent="0.25">
      <c r="A570" s="36"/>
      <c r="J570" s="67"/>
      <c r="N570" s="69"/>
      <c r="O570" s="69"/>
      <c r="S570" s="70"/>
      <c r="T570" s="70"/>
      <c r="U570" s="70"/>
      <c r="V570" s="70"/>
      <c r="W570" s="70"/>
      <c r="X570" s="70"/>
      <c r="Y570" s="70"/>
    </row>
    <row r="571" spans="1:25" x14ac:dyDescent="0.25">
      <c r="A571" s="36"/>
      <c r="J571" s="67"/>
      <c r="N571" s="69"/>
      <c r="O571" s="69"/>
      <c r="S571" s="70"/>
      <c r="T571" s="70"/>
      <c r="U571" s="70"/>
      <c r="V571" s="70"/>
      <c r="W571" s="70"/>
      <c r="X571" s="70"/>
      <c r="Y571" s="70"/>
    </row>
    <row r="572" spans="1:25" x14ac:dyDescent="0.25">
      <c r="A572" s="36"/>
      <c r="J572" s="67"/>
      <c r="N572" s="69"/>
      <c r="O572" s="69"/>
      <c r="S572" s="70"/>
      <c r="T572" s="70"/>
      <c r="U572" s="70"/>
      <c r="V572" s="70"/>
      <c r="W572" s="70"/>
      <c r="X572" s="70"/>
      <c r="Y572" s="70"/>
    </row>
    <row r="573" spans="1:25" x14ac:dyDescent="0.25">
      <c r="A573" s="36"/>
      <c r="J573" s="67"/>
      <c r="N573" s="69"/>
      <c r="O573" s="69"/>
      <c r="S573" s="70"/>
      <c r="T573" s="70"/>
      <c r="U573" s="70"/>
      <c r="V573" s="70"/>
      <c r="W573" s="70"/>
      <c r="X573" s="70"/>
      <c r="Y573" s="70"/>
    </row>
    <row r="574" spans="1:25" x14ac:dyDescent="0.25">
      <c r="A574" s="36"/>
      <c r="J574" s="67"/>
      <c r="N574" s="69"/>
      <c r="O574" s="69"/>
      <c r="S574" s="70"/>
      <c r="T574" s="70"/>
      <c r="U574" s="70"/>
      <c r="V574" s="70"/>
      <c r="W574" s="70"/>
      <c r="X574" s="70"/>
      <c r="Y574" s="70"/>
    </row>
    <row r="575" spans="1:25" x14ac:dyDescent="0.25">
      <c r="A575" s="36"/>
      <c r="J575" s="67"/>
      <c r="N575" s="69"/>
      <c r="O575" s="69"/>
      <c r="S575" s="70"/>
      <c r="T575" s="70"/>
      <c r="U575" s="70"/>
      <c r="V575" s="70"/>
      <c r="W575" s="70"/>
      <c r="X575" s="70"/>
      <c r="Y575" s="70"/>
    </row>
    <row r="576" spans="1:25" x14ac:dyDescent="0.25">
      <c r="A576" s="36"/>
      <c r="J576" s="67"/>
      <c r="N576" s="69"/>
      <c r="O576" s="69"/>
      <c r="S576" s="70"/>
      <c r="T576" s="70"/>
      <c r="U576" s="70"/>
      <c r="V576" s="70"/>
      <c r="W576" s="70"/>
      <c r="X576" s="70"/>
      <c r="Y576" s="70"/>
    </row>
    <row r="577" spans="1:25" x14ac:dyDescent="0.25">
      <c r="A577" s="36"/>
      <c r="J577" s="67"/>
      <c r="N577" s="69"/>
      <c r="O577" s="69"/>
      <c r="S577" s="70"/>
      <c r="T577" s="70"/>
      <c r="U577" s="70"/>
      <c r="V577" s="70"/>
      <c r="W577" s="70"/>
      <c r="X577" s="70"/>
      <c r="Y577" s="70"/>
    </row>
    <row r="578" spans="1:25" x14ac:dyDescent="0.25">
      <c r="A578" s="36"/>
      <c r="J578" s="67"/>
      <c r="N578" s="69"/>
      <c r="O578" s="69"/>
      <c r="S578" s="70"/>
      <c r="T578" s="70"/>
      <c r="U578" s="70"/>
      <c r="V578" s="70"/>
      <c r="W578" s="70"/>
      <c r="X578" s="70"/>
      <c r="Y578" s="70"/>
    </row>
    <row r="579" spans="1:25" x14ac:dyDescent="0.25">
      <c r="A579" s="36"/>
      <c r="J579" s="67"/>
      <c r="N579" s="69"/>
      <c r="O579" s="69"/>
      <c r="S579" s="70"/>
      <c r="T579" s="70"/>
      <c r="U579" s="70"/>
      <c r="V579" s="70"/>
      <c r="W579" s="70"/>
      <c r="X579" s="70"/>
      <c r="Y579" s="70"/>
    </row>
    <row r="580" spans="1:25" x14ac:dyDescent="0.25">
      <c r="A580" s="36"/>
      <c r="J580" s="67"/>
      <c r="N580" s="69"/>
      <c r="O580" s="69"/>
      <c r="S580" s="70"/>
      <c r="T580" s="70"/>
      <c r="U580" s="70"/>
      <c r="V580" s="70"/>
      <c r="W580" s="70"/>
      <c r="X580" s="70"/>
      <c r="Y580" s="70"/>
    </row>
    <row r="581" spans="1:25" x14ac:dyDescent="0.25">
      <c r="A581" s="36"/>
      <c r="J581" s="67"/>
      <c r="N581" s="69"/>
      <c r="O581" s="69"/>
      <c r="S581" s="70"/>
      <c r="T581" s="70"/>
      <c r="U581" s="70"/>
      <c r="V581" s="70"/>
      <c r="W581" s="70"/>
      <c r="X581" s="70"/>
      <c r="Y581" s="70"/>
    </row>
    <row r="582" spans="1:25" x14ac:dyDescent="0.25">
      <c r="A582" s="36"/>
      <c r="J582" s="67"/>
      <c r="N582" s="69"/>
      <c r="O582" s="69"/>
      <c r="S582" s="70"/>
      <c r="T582" s="70"/>
      <c r="U582" s="70"/>
      <c r="V582" s="70"/>
      <c r="W582" s="70"/>
      <c r="X582" s="70"/>
      <c r="Y582" s="70"/>
    </row>
    <row r="583" spans="1:25" x14ac:dyDescent="0.25">
      <c r="A583" s="36"/>
      <c r="J583" s="67"/>
      <c r="N583" s="69"/>
      <c r="O583" s="69"/>
      <c r="S583" s="70"/>
      <c r="T583" s="70"/>
      <c r="U583" s="70"/>
      <c r="V583" s="70"/>
      <c r="W583" s="70"/>
      <c r="X583" s="70"/>
      <c r="Y583" s="70"/>
    </row>
    <row r="584" spans="1:25" x14ac:dyDescent="0.25">
      <c r="A584" s="36"/>
      <c r="J584" s="67"/>
      <c r="N584" s="69"/>
      <c r="O584" s="69"/>
      <c r="S584" s="70"/>
      <c r="T584" s="70"/>
      <c r="U584" s="70"/>
      <c r="V584" s="70"/>
      <c r="W584" s="70"/>
      <c r="X584" s="70"/>
      <c r="Y584" s="70"/>
    </row>
    <row r="585" spans="1:25" x14ac:dyDescent="0.25">
      <c r="A585" s="36"/>
      <c r="J585" s="67"/>
      <c r="N585" s="69"/>
      <c r="O585" s="69"/>
      <c r="S585" s="70"/>
      <c r="T585" s="70"/>
      <c r="U585" s="70"/>
      <c r="V585" s="70"/>
      <c r="W585" s="70"/>
      <c r="X585" s="70"/>
      <c r="Y585" s="70"/>
    </row>
    <row r="586" spans="1:25" x14ac:dyDescent="0.25">
      <c r="A586" s="36"/>
      <c r="J586" s="67"/>
      <c r="N586" s="69"/>
      <c r="O586" s="69"/>
      <c r="S586" s="70"/>
      <c r="T586" s="70"/>
      <c r="U586" s="70"/>
      <c r="V586" s="70"/>
      <c r="W586" s="70"/>
      <c r="X586" s="70"/>
      <c r="Y586" s="70"/>
    </row>
    <row r="587" spans="1:25" x14ac:dyDescent="0.25">
      <c r="A587" s="36"/>
      <c r="J587" s="67"/>
      <c r="N587" s="69"/>
      <c r="O587" s="69"/>
      <c r="S587" s="70"/>
      <c r="T587" s="70"/>
      <c r="U587" s="70"/>
      <c r="V587" s="70"/>
      <c r="W587" s="70"/>
      <c r="X587" s="70"/>
      <c r="Y587" s="70"/>
    </row>
    <row r="588" spans="1:25" x14ac:dyDescent="0.25">
      <c r="A588" s="36"/>
      <c r="J588" s="67"/>
      <c r="N588" s="69"/>
      <c r="O588" s="69"/>
      <c r="S588" s="70"/>
      <c r="T588" s="70"/>
      <c r="U588" s="70"/>
      <c r="V588" s="70"/>
      <c r="W588" s="70"/>
      <c r="X588" s="70"/>
      <c r="Y588" s="70"/>
    </row>
    <row r="589" spans="1:25" x14ac:dyDescent="0.25">
      <c r="A589" s="36"/>
      <c r="J589" s="67"/>
      <c r="N589" s="69"/>
      <c r="O589" s="69"/>
      <c r="S589" s="70"/>
      <c r="T589" s="70"/>
      <c r="U589" s="70"/>
      <c r="V589" s="70"/>
      <c r="W589" s="70"/>
      <c r="X589" s="70"/>
      <c r="Y589" s="70"/>
    </row>
    <row r="590" spans="1:25" x14ac:dyDescent="0.25">
      <c r="A590" s="36"/>
      <c r="J590" s="67"/>
      <c r="N590" s="69"/>
      <c r="O590" s="69"/>
      <c r="S590" s="70"/>
      <c r="T590" s="70"/>
      <c r="U590" s="70"/>
      <c r="V590" s="70"/>
      <c r="W590" s="70"/>
      <c r="X590" s="70"/>
      <c r="Y590" s="70"/>
    </row>
    <row r="591" spans="1:25" x14ac:dyDescent="0.25">
      <c r="A591" s="36"/>
      <c r="J591" s="67"/>
      <c r="N591" s="69"/>
      <c r="O591" s="69"/>
      <c r="S591" s="70"/>
      <c r="T591" s="70"/>
      <c r="U591" s="70"/>
      <c r="V591" s="70"/>
      <c r="W591" s="70"/>
      <c r="X591" s="70"/>
      <c r="Y591" s="70"/>
    </row>
    <row r="592" spans="1:25" x14ac:dyDescent="0.25">
      <c r="A592" s="36"/>
      <c r="N592" s="69"/>
      <c r="O592" s="69"/>
      <c r="S592" s="70"/>
      <c r="T592" s="70"/>
      <c r="U592" s="70"/>
      <c r="V592" s="70"/>
      <c r="W592" s="70"/>
      <c r="X592" s="70"/>
      <c r="Y592" s="70"/>
    </row>
    <row r="593" spans="1:25" x14ac:dyDescent="0.25">
      <c r="A593" s="36"/>
      <c r="N593" s="69"/>
      <c r="O593" s="69"/>
      <c r="S593" s="70"/>
      <c r="T593" s="70"/>
      <c r="U593" s="70"/>
      <c r="V593" s="70"/>
      <c r="W593" s="70"/>
      <c r="X593" s="70"/>
      <c r="Y593" s="70"/>
    </row>
    <row r="594" spans="1:25" x14ac:dyDescent="0.25">
      <c r="A594" s="36"/>
      <c r="N594" s="69"/>
      <c r="O594" s="69"/>
      <c r="S594" s="70"/>
      <c r="T594" s="70"/>
      <c r="U594" s="70"/>
      <c r="V594" s="70"/>
      <c r="W594" s="70"/>
      <c r="X594" s="70"/>
      <c r="Y594" s="70"/>
    </row>
    <row r="595" spans="1:25" x14ac:dyDescent="0.25">
      <c r="A595" s="36"/>
      <c r="N595" s="69"/>
      <c r="O595" s="69"/>
      <c r="S595" s="70"/>
      <c r="T595" s="70"/>
      <c r="U595" s="70"/>
      <c r="V595" s="70"/>
      <c r="W595" s="70"/>
      <c r="X595" s="70"/>
      <c r="Y595" s="70"/>
    </row>
    <row r="596" spans="1:25" x14ac:dyDescent="0.25">
      <c r="A596" s="36"/>
      <c r="N596" s="69"/>
      <c r="O596" s="69"/>
      <c r="S596" s="70"/>
      <c r="T596" s="70"/>
      <c r="U596" s="70"/>
      <c r="V596" s="70"/>
      <c r="W596" s="70"/>
      <c r="X596" s="70"/>
      <c r="Y596" s="70"/>
    </row>
    <row r="597" spans="1:25" x14ac:dyDescent="0.25">
      <c r="A597" s="36"/>
      <c r="N597" s="69"/>
      <c r="O597" s="69"/>
      <c r="S597" s="70"/>
      <c r="T597" s="70"/>
      <c r="U597" s="70"/>
      <c r="V597" s="70"/>
      <c r="W597" s="70"/>
      <c r="X597" s="70"/>
      <c r="Y597" s="70"/>
    </row>
    <row r="598" spans="1:25" x14ac:dyDescent="0.25">
      <c r="A598" s="36"/>
      <c r="N598" s="69"/>
      <c r="O598" s="69"/>
      <c r="S598" s="70"/>
      <c r="T598" s="70"/>
      <c r="U598" s="70"/>
      <c r="V598" s="70"/>
      <c r="W598" s="70"/>
      <c r="X598" s="70"/>
      <c r="Y598" s="70"/>
    </row>
    <row r="599" spans="1:25" x14ac:dyDescent="0.25">
      <c r="A599" s="36"/>
      <c r="N599" s="69"/>
      <c r="O599" s="69"/>
      <c r="S599" s="70"/>
      <c r="T599" s="70"/>
      <c r="U599" s="70"/>
      <c r="V599" s="70"/>
      <c r="W599" s="70"/>
      <c r="X599" s="70"/>
      <c r="Y599" s="70"/>
    </row>
    <row r="600" spans="1:25" x14ac:dyDescent="0.25">
      <c r="A600" s="36"/>
      <c r="N600" s="69"/>
      <c r="O600" s="69"/>
      <c r="S600" s="70"/>
      <c r="T600" s="70"/>
      <c r="U600" s="70"/>
      <c r="V600" s="70"/>
      <c r="W600" s="70"/>
      <c r="X600" s="70"/>
      <c r="Y600" s="70"/>
    </row>
    <row r="601" spans="1:25" x14ac:dyDescent="0.25">
      <c r="A601" s="36"/>
      <c r="N601" s="69"/>
      <c r="O601" s="69"/>
      <c r="S601" s="70"/>
      <c r="T601" s="70"/>
      <c r="U601" s="70"/>
      <c r="V601" s="70"/>
      <c r="W601" s="70"/>
      <c r="X601" s="70"/>
      <c r="Y601" s="70"/>
    </row>
    <row r="602" spans="1:25" x14ac:dyDescent="0.25">
      <c r="A602" s="36"/>
      <c r="N602" s="69"/>
      <c r="O602" s="69"/>
      <c r="S602" s="70"/>
      <c r="T602" s="70"/>
      <c r="U602" s="70"/>
      <c r="V602" s="70"/>
      <c r="W602" s="70"/>
      <c r="X602" s="70"/>
      <c r="Y602" s="70"/>
    </row>
    <row r="603" spans="1:25" x14ac:dyDescent="0.25">
      <c r="A603" s="36"/>
      <c r="N603" s="69"/>
      <c r="O603" s="69"/>
      <c r="S603" s="70"/>
      <c r="T603" s="70"/>
      <c r="U603" s="70"/>
      <c r="V603" s="70"/>
      <c r="W603" s="70"/>
      <c r="X603" s="70"/>
      <c r="Y603" s="70"/>
    </row>
    <row r="604" spans="1:25" x14ac:dyDescent="0.25">
      <c r="A604" s="36"/>
      <c r="N604" s="69"/>
      <c r="O604" s="69"/>
      <c r="S604" s="70"/>
      <c r="T604" s="70"/>
      <c r="U604" s="70"/>
      <c r="V604" s="70"/>
      <c r="W604" s="70"/>
      <c r="X604" s="70"/>
      <c r="Y604" s="70"/>
    </row>
    <row r="605" spans="1:25" x14ac:dyDescent="0.25">
      <c r="A605" s="36"/>
      <c r="N605" s="69"/>
      <c r="O605" s="69"/>
      <c r="S605" s="70"/>
      <c r="T605" s="70"/>
      <c r="U605" s="70"/>
      <c r="V605" s="70"/>
      <c r="W605" s="70"/>
      <c r="X605" s="70"/>
      <c r="Y605" s="70"/>
    </row>
    <row r="606" spans="1:25" x14ac:dyDescent="0.25">
      <c r="A606" s="36"/>
      <c r="N606" s="69"/>
      <c r="O606" s="69"/>
      <c r="S606" s="70"/>
      <c r="T606" s="70"/>
      <c r="U606" s="70"/>
      <c r="V606" s="70"/>
      <c r="W606" s="70"/>
      <c r="X606" s="70"/>
      <c r="Y606" s="70"/>
    </row>
    <row r="607" spans="1:25" x14ac:dyDescent="0.25">
      <c r="A607" s="36"/>
      <c r="N607" s="69"/>
      <c r="O607" s="69"/>
      <c r="S607" s="70"/>
      <c r="T607" s="70"/>
      <c r="U607" s="70"/>
      <c r="V607" s="70"/>
      <c r="W607" s="70"/>
      <c r="X607" s="70"/>
      <c r="Y607" s="70"/>
    </row>
    <row r="608" spans="1:25" x14ac:dyDescent="0.25">
      <c r="A608" s="36"/>
      <c r="N608" s="69"/>
      <c r="O608" s="69"/>
      <c r="S608" s="70"/>
      <c r="T608" s="70"/>
      <c r="U608" s="70"/>
      <c r="V608" s="70"/>
      <c r="W608" s="70"/>
      <c r="X608" s="70"/>
      <c r="Y608" s="70"/>
    </row>
    <row r="609" spans="1:25" x14ac:dyDescent="0.25">
      <c r="A609" s="36"/>
      <c r="N609" s="69"/>
      <c r="O609" s="69"/>
      <c r="S609" s="70"/>
      <c r="T609" s="70"/>
      <c r="U609" s="70"/>
      <c r="V609" s="70"/>
      <c r="W609" s="70"/>
      <c r="X609" s="70"/>
      <c r="Y609" s="70"/>
    </row>
    <row r="610" spans="1:25" x14ac:dyDescent="0.25">
      <c r="A610" s="36"/>
      <c r="N610" s="69"/>
      <c r="O610" s="69"/>
      <c r="S610" s="70"/>
      <c r="T610" s="70"/>
      <c r="U610" s="70"/>
      <c r="V610" s="70"/>
      <c r="W610" s="70"/>
      <c r="X610" s="70"/>
      <c r="Y610" s="70"/>
    </row>
    <row r="611" spans="1:25" x14ac:dyDescent="0.25">
      <c r="A611" s="36"/>
      <c r="N611" s="69"/>
      <c r="O611" s="69"/>
      <c r="S611" s="70"/>
      <c r="T611" s="70"/>
      <c r="U611" s="70"/>
      <c r="V611" s="70"/>
      <c r="W611" s="70"/>
      <c r="X611" s="70"/>
      <c r="Y611" s="70"/>
    </row>
    <row r="612" spans="1:25" x14ac:dyDescent="0.25">
      <c r="A612" s="36"/>
      <c r="N612" s="69"/>
      <c r="O612" s="69"/>
      <c r="S612" s="70"/>
      <c r="T612" s="70"/>
      <c r="U612" s="70"/>
      <c r="V612" s="70"/>
      <c r="W612" s="70"/>
      <c r="X612" s="70"/>
      <c r="Y612" s="70"/>
    </row>
    <row r="613" spans="1:25" x14ac:dyDescent="0.25">
      <c r="A613" s="36"/>
      <c r="N613" s="69"/>
      <c r="O613" s="69"/>
      <c r="S613" s="70"/>
      <c r="T613" s="70"/>
      <c r="U613" s="70"/>
      <c r="V613" s="70"/>
      <c r="W613" s="70"/>
      <c r="X613" s="70"/>
      <c r="Y613" s="70"/>
    </row>
    <row r="614" spans="1:25" x14ac:dyDescent="0.25">
      <c r="A614" s="36"/>
      <c r="N614" s="69"/>
      <c r="O614" s="69"/>
      <c r="S614" s="70"/>
      <c r="T614" s="70"/>
      <c r="U614" s="70"/>
      <c r="V614" s="70"/>
      <c r="W614" s="70"/>
      <c r="X614" s="70"/>
      <c r="Y614" s="70"/>
    </row>
    <row r="615" spans="1:25" x14ac:dyDescent="0.25">
      <c r="A615" s="36"/>
      <c r="N615" s="69"/>
      <c r="O615" s="69"/>
      <c r="S615" s="70"/>
      <c r="T615" s="70"/>
      <c r="U615" s="70"/>
      <c r="V615" s="70"/>
      <c r="W615" s="70"/>
      <c r="X615" s="70"/>
      <c r="Y615" s="70"/>
    </row>
    <row r="616" spans="1:25" x14ac:dyDescent="0.25">
      <c r="A616" s="36"/>
      <c r="N616" s="69"/>
      <c r="O616" s="69"/>
      <c r="S616" s="70"/>
      <c r="T616" s="70"/>
      <c r="U616" s="70"/>
      <c r="V616" s="70"/>
      <c r="W616" s="70"/>
      <c r="X616" s="70"/>
      <c r="Y616" s="70"/>
    </row>
    <row r="617" spans="1:25" x14ac:dyDescent="0.25">
      <c r="A617" s="36"/>
      <c r="N617" s="69"/>
      <c r="O617" s="69"/>
      <c r="S617" s="70"/>
      <c r="T617" s="70"/>
      <c r="U617" s="70"/>
      <c r="V617" s="70"/>
      <c r="W617" s="70"/>
      <c r="X617" s="70"/>
      <c r="Y617" s="70"/>
    </row>
    <row r="618" spans="1:25" x14ac:dyDescent="0.25">
      <c r="A618" s="36"/>
      <c r="N618" s="69"/>
      <c r="O618" s="69"/>
      <c r="S618" s="70"/>
      <c r="T618" s="70"/>
      <c r="U618" s="70"/>
      <c r="V618" s="70"/>
      <c r="W618" s="70"/>
      <c r="X618" s="70"/>
      <c r="Y618" s="70"/>
    </row>
    <row r="619" spans="1:25" x14ac:dyDescent="0.25">
      <c r="A619" s="36"/>
      <c r="N619" s="69"/>
      <c r="O619" s="69"/>
      <c r="S619" s="70"/>
      <c r="T619" s="70"/>
      <c r="U619" s="70"/>
      <c r="V619" s="70"/>
      <c r="W619" s="70"/>
      <c r="X619" s="70"/>
      <c r="Y619" s="70"/>
    </row>
    <row r="620" spans="1:25" x14ac:dyDescent="0.25">
      <c r="A620" s="36"/>
      <c r="N620" s="69"/>
      <c r="O620" s="69"/>
      <c r="S620" s="70"/>
      <c r="T620" s="70"/>
      <c r="U620" s="70"/>
      <c r="V620" s="70"/>
      <c r="W620" s="70"/>
      <c r="X620" s="70"/>
      <c r="Y620" s="70"/>
    </row>
    <row r="621" spans="1:25" x14ac:dyDescent="0.25">
      <c r="A621" s="36"/>
      <c r="N621" s="69"/>
      <c r="O621" s="69"/>
      <c r="S621" s="70"/>
      <c r="T621" s="70"/>
      <c r="U621" s="70"/>
      <c r="V621" s="70"/>
      <c r="W621" s="70"/>
      <c r="X621" s="70"/>
      <c r="Y621" s="70"/>
    </row>
    <row r="622" spans="1:25" x14ac:dyDescent="0.25">
      <c r="A622" s="36"/>
      <c r="N622" s="69"/>
      <c r="O622" s="69"/>
      <c r="S622" s="70"/>
      <c r="T622" s="70"/>
      <c r="U622" s="70"/>
      <c r="V622" s="70"/>
      <c r="W622" s="70"/>
      <c r="X622" s="70"/>
      <c r="Y622" s="70"/>
    </row>
    <row r="623" spans="1:25" x14ac:dyDescent="0.25">
      <c r="A623" s="36"/>
      <c r="N623" s="69"/>
      <c r="O623" s="69"/>
      <c r="S623" s="70"/>
      <c r="T623" s="70"/>
      <c r="U623" s="70"/>
      <c r="V623" s="70"/>
      <c r="W623" s="70"/>
      <c r="X623" s="70"/>
      <c r="Y623" s="70"/>
    </row>
    <row r="624" spans="1:25" x14ac:dyDescent="0.25">
      <c r="A624" s="36"/>
      <c r="N624" s="69"/>
      <c r="O624" s="69"/>
      <c r="S624" s="70"/>
      <c r="T624" s="70"/>
      <c r="U624" s="70"/>
      <c r="V624" s="70"/>
      <c r="W624" s="70"/>
      <c r="X624" s="70"/>
      <c r="Y624" s="70"/>
    </row>
    <row r="625" spans="1:25" x14ac:dyDescent="0.25">
      <c r="A625" s="36"/>
      <c r="N625" s="69"/>
      <c r="O625" s="69"/>
      <c r="S625" s="70"/>
      <c r="T625" s="70"/>
      <c r="U625" s="70"/>
      <c r="V625" s="70"/>
      <c r="W625" s="70"/>
      <c r="X625" s="70"/>
      <c r="Y625" s="70"/>
    </row>
    <row r="626" spans="1:25" x14ac:dyDescent="0.25">
      <c r="A626" s="36"/>
      <c r="N626" s="69"/>
      <c r="O626" s="69"/>
      <c r="S626" s="70"/>
      <c r="T626" s="70"/>
      <c r="U626" s="70"/>
      <c r="V626" s="70"/>
      <c r="W626" s="70"/>
      <c r="X626" s="70"/>
      <c r="Y626" s="70"/>
    </row>
    <row r="627" spans="1:25" x14ac:dyDescent="0.25">
      <c r="A627" s="36"/>
      <c r="N627" s="69"/>
      <c r="O627" s="69"/>
      <c r="S627" s="70"/>
      <c r="T627" s="70"/>
      <c r="U627" s="70"/>
      <c r="V627" s="70"/>
      <c r="W627" s="70"/>
      <c r="X627" s="70"/>
      <c r="Y627" s="70"/>
    </row>
    <row r="628" spans="1:25" x14ac:dyDescent="0.25">
      <c r="A628" s="36"/>
      <c r="N628" s="69"/>
      <c r="O628" s="69"/>
      <c r="S628" s="70"/>
      <c r="T628" s="70"/>
      <c r="U628" s="70"/>
      <c r="V628" s="70"/>
      <c r="W628" s="70"/>
      <c r="X628" s="70"/>
      <c r="Y628" s="70"/>
    </row>
    <row r="629" spans="1:25" x14ac:dyDescent="0.25">
      <c r="A629" s="36"/>
      <c r="N629" s="69"/>
      <c r="O629" s="69"/>
      <c r="S629" s="70"/>
      <c r="T629" s="70"/>
      <c r="U629" s="70"/>
      <c r="V629" s="70"/>
      <c r="W629" s="70"/>
      <c r="X629" s="70"/>
      <c r="Y629" s="70"/>
    </row>
    <row r="630" spans="1:25" x14ac:dyDescent="0.25">
      <c r="A630" s="36"/>
      <c r="N630" s="69"/>
      <c r="O630" s="69"/>
      <c r="S630" s="70"/>
      <c r="T630" s="70"/>
      <c r="U630" s="70"/>
      <c r="V630" s="70"/>
      <c r="W630" s="70"/>
      <c r="X630" s="70"/>
      <c r="Y630" s="70"/>
    </row>
    <row r="631" spans="1:25" x14ac:dyDescent="0.25">
      <c r="A631" s="36"/>
      <c r="N631" s="69"/>
      <c r="O631" s="69"/>
      <c r="S631" s="70"/>
      <c r="T631" s="70"/>
      <c r="U631" s="70"/>
      <c r="V631" s="70"/>
      <c r="W631" s="70"/>
      <c r="X631" s="70"/>
      <c r="Y631" s="70"/>
    </row>
    <row r="632" spans="1:25" x14ac:dyDescent="0.25">
      <c r="A632" s="36"/>
      <c r="N632" s="69"/>
      <c r="O632" s="69"/>
      <c r="S632" s="70"/>
      <c r="T632" s="70"/>
      <c r="U632" s="70"/>
      <c r="V632" s="70"/>
      <c r="W632" s="70"/>
      <c r="X632" s="70"/>
      <c r="Y632" s="70"/>
    </row>
    <row r="633" spans="1:25" x14ac:dyDescent="0.25">
      <c r="A633" s="36"/>
      <c r="N633" s="69"/>
      <c r="O633" s="69"/>
      <c r="S633" s="70"/>
      <c r="T633" s="70"/>
      <c r="U633" s="70"/>
      <c r="V633" s="70"/>
      <c r="W633" s="70"/>
      <c r="X633" s="70"/>
      <c r="Y633" s="70"/>
    </row>
    <row r="634" spans="1:25" x14ac:dyDescent="0.25">
      <c r="A634" s="36"/>
      <c r="N634" s="69"/>
      <c r="O634" s="69"/>
      <c r="S634" s="70"/>
      <c r="T634" s="70"/>
      <c r="U634" s="70"/>
      <c r="V634" s="70"/>
      <c r="W634" s="70"/>
      <c r="X634" s="70"/>
      <c r="Y634" s="70"/>
    </row>
    <row r="635" spans="1:25" x14ac:dyDescent="0.25">
      <c r="A635" s="36"/>
      <c r="N635" s="69"/>
      <c r="O635" s="69"/>
      <c r="S635" s="70"/>
      <c r="T635" s="70"/>
      <c r="U635" s="70"/>
      <c r="V635" s="70"/>
      <c r="W635" s="70"/>
      <c r="X635" s="70"/>
      <c r="Y635" s="70"/>
    </row>
    <row r="636" spans="1:25" x14ac:dyDescent="0.25">
      <c r="A636" s="36"/>
      <c r="N636" s="69"/>
      <c r="O636" s="69"/>
      <c r="S636" s="70"/>
      <c r="T636" s="70"/>
      <c r="U636" s="70"/>
      <c r="V636" s="70"/>
      <c r="W636" s="70"/>
      <c r="X636" s="70"/>
      <c r="Y636" s="70"/>
    </row>
    <row r="637" spans="1:25" x14ac:dyDescent="0.25">
      <c r="A637" s="36"/>
      <c r="N637" s="69"/>
      <c r="O637" s="69"/>
      <c r="S637" s="70"/>
      <c r="T637" s="70"/>
      <c r="U637" s="70"/>
      <c r="V637" s="70"/>
      <c r="W637" s="70"/>
      <c r="X637" s="70"/>
      <c r="Y637" s="70"/>
    </row>
    <row r="638" spans="1:25" x14ac:dyDescent="0.25">
      <c r="A638" s="36"/>
      <c r="N638" s="69"/>
      <c r="O638" s="69"/>
      <c r="S638" s="70"/>
      <c r="T638" s="70"/>
      <c r="U638" s="70"/>
      <c r="V638" s="70"/>
      <c r="W638" s="70"/>
      <c r="X638" s="70"/>
      <c r="Y638" s="70"/>
    </row>
    <row r="639" spans="1:25" x14ac:dyDescent="0.25">
      <c r="A639" s="36"/>
      <c r="N639" s="69"/>
      <c r="O639" s="69"/>
      <c r="S639" s="70"/>
      <c r="T639" s="70"/>
      <c r="U639" s="70"/>
      <c r="V639" s="70"/>
      <c r="W639" s="70"/>
      <c r="X639" s="70"/>
      <c r="Y639" s="70"/>
    </row>
    <row r="640" spans="1:25" x14ac:dyDescent="0.25">
      <c r="A640" s="36"/>
      <c r="N640" s="69"/>
      <c r="O640" s="69"/>
      <c r="S640" s="70"/>
      <c r="T640" s="70"/>
      <c r="U640" s="70"/>
      <c r="V640" s="70"/>
      <c r="W640" s="70"/>
      <c r="X640" s="70"/>
      <c r="Y640" s="70"/>
    </row>
    <row r="641" spans="1:25" x14ac:dyDescent="0.25">
      <c r="A641" s="36"/>
      <c r="N641" s="69"/>
      <c r="O641" s="69"/>
      <c r="S641" s="70"/>
      <c r="T641" s="70"/>
      <c r="U641" s="70"/>
      <c r="V641" s="70"/>
      <c r="W641" s="70"/>
      <c r="X641" s="70"/>
      <c r="Y641" s="70"/>
    </row>
    <row r="642" spans="1:25" x14ac:dyDescent="0.25">
      <c r="A642" s="36"/>
      <c r="N642" s="69"/>
      <c r="O642" s="69"/>
      <c r="S642" s="70"/>
      <c r="T642" s="70"/>
      <c r="U642" s="70"/>
      <c r="V642" s="70"/>
      <c r="W642" s="70"/>
      <c r="X642" s="70"/>
      <c r="Y642" s="70"/>
    </row>
    <row r="643" spans="1:25" x14ac:dyDescent="0.25">
      <c r="A643" s="36"/>
      <c r="N643" s="69"/>
      <c r="O643" s="69"/>
      <c r="S643" s="70"/>
      <c r="T643" s="70"/>
      <c r="U643" s="70"/>
      <c r="V643" s="70"/>
      <c r="W643" s="70"/>
      <c r="X643" s="70"/>
      <c r="Y643" s="70"/>
    </row>
    <row r="644" spans="1:25" x14ac:dyDescent="0.25">
      <c r="A644" s="36"/>
      <c r="N644" s="69"/>
      <c r="O644" s="69"/>
      <c r="S644" s="70"/>
      <c r="T644" s="70"/>
      <c r="U644" s="70"/>
      <c r="V644" s="70"/>
      <c r="W644" s="70"/>
      <c r="X644" s="70"/>
      <c r="Y644" s="70"/>
    </row>
    <row r="645" spans="1:25" x14ac:dyDescent="0.25">
      <c r="A645" s="36"/>
      <c r="N645" s="69"/>
      <c r="O645" s="69"/>
      <c r="S645" s="70"/>
      <c r="T645" s="70"/>
      <c r="U645" s="70"/>
      <c r="V645" s="70"/>
      <c r="W645" s="70"/>
      <c r="X645" s="70"/>
      <c r="Y645" s="70"/>
    </row>
    <row r="646" spans="1:25" x14ac:dyDescent="0.25">
      <c r="A646" s="36"/>
      <c r="N646" s="69"/>
      <c r="O646" s="69"/>
      <c r="S646" s="70"/>
      <c r="T646" s="70"/>
      <c r="U646" s="70"/>
      <c r="V646" s="70"/>
      <c r="W646" s="70"/>
      <c r="X646" s="70"/>
      <c r="Y646" s="70"/>
    </row>
    <row r="647" spans="1:25" x14ac:dyDescent="0.25">
      <c r="A647" s="36"/>
      <c r="N647" s="69"/>
      <c r="O647" s="69"/>
      <c r="S647" s="70"/>
      <c r="T647" s="70"/>
      <c r="U647" s="70"/>
      <c r="V647" s="70"/>
      <c r="W647" s="70"/>
      <c r="X647" s="70"/>
      <c r="Y647" s="70"/>
    </row>
    <row r="648" spans="1:25" x14ac:dyDescent="0.25">
      <c r="A648" s="36"/>
      <c r="N648" s="69"/>
      <c r="O648" s="69"/>
      <c r="S648" s="70"/>
      <c r="T648" s="70"/>
      <c r="U648" s="70"/>
      <c r="V648" s="70"/>
      <c r="W648" s="70"/>
      <c r="X648" s="70"/>
      <c r="Y648" s="70"/>
    </row>
    <row r="649" spans="1:25" x14ac:dyDescent="0.25">
      <c r="A649" s="36"/>
      <c r="N649" s="69"/>
      <c r="O649" s="69"/>
      <c r="S649" s="70"/>
      <c r="T649" s="70"/>
      <c r="U649" s="70"/>
      <c r="V649" s="70"/>
      <c r="W649" s="70"/>
      <c r="X649" s="70"/>
      <c r="Y649" s="70"/>
    </row>
    <row r="650" spans="1:25" x14ac:dyDescent="0.25">
      <c r="A650" s="36"/>
      <c r="N650" s="69"/>
      <c r="O650" s="69"/>
      <c r="S650" s="70"/>
      <c r="T650" s="70"/>
      <c r="U650" s="70"/>
      <c r="V650" s="70"/>
      <c r="W650" s="70"/>
      <c r="X650" s="70"/>
      <c r="Y650" s="70"/>
    </row>
    <row r="651" spans="1:25" x14ac:dyDescent="0.25">
      <c r="A651" s="36"/>
      <c r="N651" s="69"/>
      <c r="O651" s="69"/>
      <c r="S651" s="70"/>
      <c r="T651" s="70"/>
      <c r="U651" s="70"/>
      <c r="V651" s="70"/>
      <c r="W651" s="70"/>
      <c r="X651" s="70"/>
      <c r="Y651" s="70"/>
    </row>
    <row r="652" spans="1:25" x14ac:dyDescent="0.25">
      <c r="A652" s="36"/>
      <c r="N652" s="69"/>
      <c r="O652" s="69"/>
      <c r="S652" s="70"/>
      <c r="T652" s="70"/>
      <c r="U652" s="70"/>
      <c r="V652" s="70"/>
      <c r="W652" s="70"/>
      <c r="X652" s="70"/>
      <c r="Y652" s="70"/>
    </row>
    <row r="653" spans="1:25" x14ac:dyDescent="0.25">
      <c r="A653" s="36"/>
      <c r="N653" s="69"/>
      <c r="O653" s="69"/>
      <c r="S653" s="70"/>
      <c r="T653" s="70"/>
      <c r="U653" s="70"/>
      <c r="V653" s="70"/>
      <c r="W653" s="70"/>
      <c r="X653" s="70"/>
      <c r="Y653" s="70"/>
    </row>
    <row r="654" spans="1:25" x14ac:dyDescent="0.25">
      <c r="A654" s="36"/>
      <c r="N654" s="69"/>
      <c r="O654" s="69"/>
      <c r="S654" s="70"/>
      <c r="T654" s="70"/>
      <c r="U654" s="70"/>
      <c r="V654" s="70"/>
      <c r="W654" s="70"/>
      <c r="X654" s="70"/>
      <c r="Y654" s="70"/>
    </row>
    <row r="655" spans="1:25" x14ac:dyDescent="0.25">
      <c r="A655" s="36"/>
      <c r="N655" s="69"/>
      <c r="O655" s="69"/>
      <c r="S655" s="70"/>
      <c r="T655" s="70"/>
      <c r="U655" s="70"/>
      <c r="V655" s="70"/>
      <c r="W655" s="70"/>
      <c r="X655" s="70"/>
      <c r="Y655" s="70"/>
    </row>
    <row r="656" spans="1:25" x14ac:dyDescent="0.25">
      <c r="A656" s="36"/>
      <c r="N656" s="69"/>
      <c r="O656" s="69"/>
      <c r="S656" s="70"/>
      <c r="T656" s="70"/>
      <c r="U656" s="70"/>
      <c r="V656" s="70"/>
      <c r="W656" s="70"/>
      <c r="X656" s="70"/>
      <c r="Y656" s="70"/>
    </row>
    <row r="657" spans="1:25" x14ac:dyDescent="0.25">
      <c r="A657" s="36"/>
      <c r="N657" s="69"/>
      <c r="O657" s="69"/>
      <c r="S657" s="70"/>
      <c r="T657" s="70"/>
      <c r="U657" s="70"/>
      <c r="V657" s="70"/>
      <c r="W657" s="70"/>
      <c r="X657" s="70"/>
      <c r="Y657" s="70"/>
    </row>
    <row r="658" spans="1:25" x14ac:dyDescent="0.25">
      <c r="A658" s="36"/>
      <c r="N658" s="69"/>
      <c r="O658" s="69"/>
      <c r="S658" s="70"/>
      <c r="T658" s="70"/>
      <c r="U658" s="70"/>
      <c r="V658" s="70"/>
      <c r="W658" s="70"/>
      <c r="X658" s="70"/>
      <c r="Y658" s="70"/>
    </row>
    <row r="659" spans="1:25" x14ac:dyDescent="0.25">
      <c r="A659" s="36"/>
      <c r="N659" s="69"/>
      <c r="O659" s="69"/>
      <c r="S659" s="70"/>
      <c r="T659" s="70"/>
      <c r="U659" s="70"/>
      <c r="V659" s="70"/>
      <c r="W659" s="70"/>
      <c r="X659" s="70"/>
      <c r="Y659" s="70"/>
    </row>
    <row r="660" spans="1:25" x14ac:dyDescent="0.25">
      <c r="A660" s="36"/>
      <c r="N660" s="69"/>
      <c r="O660" s="69"/>
      <c r="S660" s="70"/>
      <c r="T660" s="70"/>
      <c r="U660" s="70"/>
      <c r="V660" s="70"/>
      <c r="W660" s="70"/>
      <c r="X660" s="70"/>
      <c r="Y660" s="70"/>
    </row>
    <row r="661" spans="1:25" x14ac:dyDescent="0.25">
      <c r="A661" s="36"/>
      <c r="N661" s="69"/>
      <c r="O661" s="69"/>
      <c r="S661" s="70"/>
      <c r="T661" s="70"/>
      <c r="U661" s="70"/>
      <c r="V661" s="70"/>
      <c r="W661" s="70"/>
      <c r="X661" s="70"/>
      <c r="Y661" s="70"/>
    </row>
    <row r="662" spans="1:25" x14ac:dyDescent="0.25">
      <c r="A662" s="36"/>
      <c r="N662" s="69"/>
      <c r="O662" s="69"/>
      <c r="S662" s="70"/>
      <c r="T662" s="70"/>
      <c r="U662" s="70"/>
      <c r="V662" s="70"/>
      <c r="W662" s="70"/>
      <c r="X662" s="70"/>
      <c r="Y662" s="70"/>
    </row>
    <row r="663" spans="1:25" x14ac:dyDescent="0.25">
      <c r="A663" s="36"/>
      <c r="N663" s="69"/>
      <c r="O663" s="69"/>
      <c r="S663" s="70"/>
      <c r="T663" s="70"/>
      <c r="U663" s="70"/>
      <c r="V663" s="70"/>
      <c r="W663" s="70"/>
      <c r="X663" s="70"/>
      <c r="Y663" s="70"/>
    </row>
    <row r="664" spans="1:25" x14ac:dyDescent="0.25">
      <c r="A664" s="36"/>
      <c r="N664" s="69"/>
      <c r="O664" s="69"/>
      <c r="S664" s="70"/>
      <c r="T664" s="70"/>
      <c r="U664" s="70"/>
      <c r="V664" s="70"/>
      <c r="W664" s="70"/>
      <c r="X664" s="70"/>
      <c r="Y664" s="70"/>
    </row>
    <row r="665" spans="1:25" x14ac:dyDescent="0.25">
      <c r="A665" s="36"/>
      <c r="N665" s="69"/>
      <c r="O665" s="69"/>
      <c r="S665" s="70"/>
      <c r="T665" s="70"/>
      <c r="U665" s="70"/>
      <c r="V665" s="70"/>
      <c r="W665" s="70"/>
      <c r="X665" s="70"/>
      <c r="Y665" s="70"/>
    </row>
    <row r="666" spans="1:25" x14ac:dyDescent="0.25">
      <c r="A666" s="36"/>
      <c r="N666" s="69"/>
      <c r="O666" s="69"/>
      <c r="S666" s="70"/>
      <c r="T666" s="70"/>
      <c r="U666" s="70"/>
      <c r="V666" s="70"/>
      <c r="W666" s="70"/>
      <c r="X666" s="70"/>
      <c r="Y666" s="70"/>
    </row>
    <row r="667" spans="1:25" x14ac:dyDescent="0.25">
      <c r="A667" s="36"/>
      <c r="N667" s="69"/>
      <c r="O667" s="69"/>
      <c r="S667" s="70"/>
      <c r="T667" s="70"/>
      <c r="U667" s="70"/>
      <c r="V667" s="70"/>
      <c r="W667" s="70"/>
      <c r="X667" s="70"/>
      <c r="Y667" s="70"/>
    </row>
    <row r="668" spans="1:25" x14ac:dyDescent="0.25">
      <c r="A668" s="36"/>
      <c r="N668" s="69"/>
      <c r="O668" s="69"/>
      <c r="S668" s="70"/>
      <c r="T668" s="70"/>
      <c r="U668" s="70"/>
      <c r="V668" s="70"/>
      <c r="W668" s="70"/>
      <c r="X668" s="70"/>
      <c r="Y668" s="70"/>
    </row>
    <row r="669" spans="1:25" x14ac:dyDescent="0.25">
      <c r="A669" s="36"/>
      <c r="N669" s="69"/>
      <c r="O669" s="69"/>
      <c r="S669" s="70"/>
      <c r="T669" s="70"/>
      <c r="U669" s="70"/>
      <c r="V669" s="70"/>
      <c r="W669" s="70"/>
      <c r="X669" s="70"/>
      <c r="Y669" s="70"/>
    </row>
    <row r="670" spans="1:25" x14ac:dyDescent="0.25">
      <c r="A670" s="36"/>
      <c r="N670" s="69"/>
      <c r="O670" s="69"/>
      <c r="S670" s="70"/>
      <c r="T670" s="70"/>
      <c r="U670" s="70"/>
      <c r="V670" s="70"/>
      <c r="W670" s="70"/>
      <c r="X670" s="70"/>
      <c r="Y670" s="70"/>
    </row>
    <row r="671" spans="1:25" x14ac:dyDescent="0.25">
      <c r="A671" s="36"/>
      <c r="N671" s="69"/>
      <c r="O671" s="69"/>
      <c r="S671" s="70"/>
      <c r="T671" s="70"/>
      <c r="U671" s="70"/>
      <c r="V671" s="70"/>
      <c r="W671" s="70"/>
      <c r="X671" s="70"/>
      <c r="Y671" s="70"/>
    </row>
    <row r="672" spans="1:25" x14ac:dyDescent="0.25">
      <c r="A672" s="36"/>
      <c r="N672" s="69"/>
      <c r="O672" s="69"/>
      <c r="S672" s="70"/>
      <c r="T672" s="70"/>
      <c r="U672" s="70"/>
      <c r="V672" s="70"/>
      <c r="W672" s="70"/>
      <c r="X672" s="70"/>
      <c r="Y672" s="70"/>
    </row>
    <row r="673" spans="1:25" x14ac:dyDescent="0.25">
      <c r="A673" s="36"/>
      <c r="N673" s="69"/>
      <c r="O673" s="69"/>
      <c r="S673" s="70"/>
      <c r="T673" s="70"/>
      <c r="U673" s="70"/>
      <c r="V673" s="70"/>
      <c r="W673" s="70"/>
      <c r="X673" s="70"/>
      <c r="Y673" s="70"/>
    </row>
    <row r="674" spans="1:25" x14ac:dyDescent="0.25">
      <c r="A674" s="36"/>
      <c r="N674" s="69"/>
      <c r="O674" s="69"/>
      <c r="S674" s="70"/>
      <c r="T674" s="70"/>
      <c r="U674" s="70"/>
      <c r="V674" s="70"/>
      <c r="W674" s="70"/>
      <c r="X674" s="70"/>
      <c r="Y674" s="70"/>
    </row>
    <row r="675" spans="1:25" x14ac:dyDescent="0.25">
      <c r="A675" s="36"/>
      <c r="N675" s="69"/>
      <c r="O675" s="69"/>
      <c r="S675" s="70"/>
      <c r="T675" s="70"/>
      <c r="U675" s="70"/>
      <c r="V675" s="70"/>
      <c r="W675" s="70"/>
      <c r="X675" s="70"/>
      <c r="Y675" s="70"/>
    </row>
    <row r="676" spans="1:25" x14ac:dyDescent="0.25">
      <c r="A676" s="36"/>
      <c r="N676" s="69"/>
      <c r="O676" s="69"/>
      <c r="S676" s="70"/>
      <c r="T676" s="70"/>
      <c r="U676" s="70"/>
      <c r="V676" s="70"/>
      <c r="W676" s="70"/>
      <c r="X676" s="70"/>
      <c r="Y676" s="70"/>
    </row>
    <row r="677" spans="1:25" x14ac:dyDescent="0.25">
      <c r="A677" s="36"/>
      <c r="N677" s="69"/>
      <c r="O677" s="69"/>
      <c r="S677" s="70"/>
      <c r="T677" s="70"/>
      <c r="U677" s="70"/>
      <c r="V677" s="70"/>
      <c r="W677" s="70"/>
      <c r="X677" s="70"/>
      <c r="Y677" s="70"/>
    </row>
    <row r="678" spans="1:25" x14ac:dyDescent="0.25">
      <c r="A678" s="36"/>
      <c r="N678" s="69"/>
      <c r="O678" s="69"/>
      <c r="S678" s="70"/>
      <c r="T678" s="70"/>
      <c r="U678" s="70"/>
      <c r="V678" s="70"/>
      <c r="W678" s="70"/>
      <c r="X678" s="70"/>
      <c r="Y678" s="70"/>
    </row>
    <row r="679" spans="1:25" x14ac:dyDescent="0.25">
      <c r="A679" s="36"/>
      <c r="N679" s="69"/>
      <c r="O679" s="69"/>
      <c r="S679" s="70"/>
      <c r="T679" s="70"/>
      <c r="U679" s="70"/>
      <c r="V679" s="70"/>
      <c r="W679" s="70"/>
      <c r="X679" s="70"/>
      <c r="Y679" s="70"/>
    </row>
    <row r="680" spans="1:25" x14ac:dyDescent="0.25">
      <c r="A680" s="36"/>
      <c r="N680" s="69"/>
      <c r="O680" s="69"/>
      <c r="S680" s="70"/>
      <c r="T680" s="70"/>
      <c r="U680" s="70"/>
      <c r="V680" s="70"/>
      <c r="W680" s="70"/>
      <c r="X680" s="70"/>
      <c r="Y680" s="70"/>
    </row>
    <row r="681" spans="1:25" x14ac:dyDescent="0.25">
      <c r="A681" s="36"/>
      <c r="N681" s="69"/>
      <c r="O681" s="69"/>
      <c r="S681" s="70"/>
      <c r="T681" s="70"/>
      <c r="U681" s="70"/>
      <c r="V681" s="70"/>
      <c r="W681" s="70"/>
      <c r="X681" s="70"/>
      <c r="Y681" s="70"/>
    </row>
    <row r="682" spans="1:25" x14ac:dyDescent="0.25">
      <c r="A682" s="36"/>
      <c r="N682" s="69"/>
      <c r="O682" s="69"/>
      <c r="S682" s="70"/>
      <c r="T682" s="70"/>
      <c r="U682" s="70"/>
      <c r="V682" s="70"/>
      <c r="W682" s="70"/>
      <c r="X682" s="70"/>
      <c r="Y682" s="70"/>
    </row>
    <row r="683" spans="1:25" x14ac:dyDescent="0.25">
      <c r="A683" s="36"/>
      <c r="N683" s="69"/>
      <c r="O683" s="69"/>
      <c r="S683" s="70"/>
      <c r="T683" s="70"/>
      <c r="U683" s="70"/>
      <c r="V683" s="70"/>
      <c r="W683" s="70"/>
      <c r="X683" s="70"/>
      <c r="Y683" s="70"/>
    </row>
    <row r="684" spans="1:25" x14ac:dyDescent="0.25">
      <c r="A684" s="36"/>
      <c r="N684" s="69"/>
      <c r="O684" s="69"/>
      <c r="S684" s="70"/>
      <c r="T684" s="70"/>
      <c r="U684" s="70"/>
      <c r="V684" s="70"/>
      <c r="W684" s="70"/>
      <c r="X684" s="70"/>
      <c r="Y684" s="70"/>
    </row>
    <row r="685" spans="1:25" x14ac:dyDescent="0.25">
      <c r="A685" s="36"/>
      <c r="N685" s="69"/>
      <c r="O685" s="69"/>
      <c r="S685" s="70"/>
      <c r="T685" s="70"/>
      <c r="U685" s="70"/>
      <c r="V685" s="70"/>
      <c r="W685" s="70"/>
      <c r="X685" s="70"/>
      <c r="Y685" s="70"/>
    </row>
    <row r="686" spans="1:25" x14ac:dyDescent="0.25">
      <c r="A686" s="36"/>
      <c r="N686" s="69"/>
      <c r="O686" s="69"/>
      <c r="S686" s="70"/>
      <c r="T686" s="70"/>
      <c r="U686" s="70"/>
      <c r="V686" s="70"/>
      <c r="W686" s="70"/>
      <c r="X686" s="70"/>
      <c r="Y686" s="70"/>
    </row>
    <row r="687" spans="1:25" x14ac:dyDescent="0.25">
      <c r="A687" s="36"/>
      <c r="N687" s="69"/>
      <c r="O687" s="69"/>
      <c r="S687" s="70"/>
      <c r="T687" s="70"/>
      <c r="U687" s="70"/>
      <c r="V687" s="70"/>
      <c r="W687" s="70"/>
      <c r="X687" s="70"/>
      <c r="Y687" s="70"/>
    </row>
    <row r="688" spans="1:25" x14ac:dyDescent="0.25">
      <c r="A688" s="36"/>
      <c r="N688" s="69"/>
      <c r="O688" s="69"/>
      <c r="S688" s="70"/>
      <c r="T688" s="70"/>
      <c r="U688" s="70"/>
      <c r="V688" s="70"/>
      <c r="W688" s="70"/>
      <c r="X688" s="70"/>
      <c r="Y688" s="70"/>
    </row>
    <row r="689" spans="1:25" x14ac:dyDescent="0.25">
      <c r="A689" s="36"/>
      <c r="N689" s="69"/>
      <c r="O689" s="69"/>
      <c r="S689" s="70"/>
      <c r="T689" s="70"/>
      <c r="U689" s="70"/>
      <c r="V689" s="70"/>
      <c r="W689" s="70"/>
      <c r="X689" s="70"/>
      <c r="Y689" s="70"/>
    </row>
    <row r="690" spans="1:25" x14ac:dyDescent="0.25">
      <c r="A690" s="36"/>
      <c r="N690" s="69"/>
      <c r="O690" s="69"/>
      <c r="S690" s="70"/>
      <c r="T690" s="70"/>
      <c r="U690" s="70"/>
      <c r="V690" s="70"/>
      <c r="W690" s="70"/>
      <c r="X690" s="70"/>
      <c r="Y690" s="70"/>
    </row>
    <row r="691" spans="1:25" x14ac:dyDescent="0.25">
      <c r="A691" s="36"/>
      <c r="N691" s="69"/>
      <c r="O691" s="69"/>
      <c r="S691" s="70"/>
      <c r="T691" s="70"/>
      <c r="U691" s="70"/>
      <c r="V691" s="70"/>
      <c r="W691" s="70"/>
      <c r="X691" s="70"/>
      <c r="Y691" s="70"/>
    </row>
    <row r="692" spans="1:25" x14ac:dyDescent="0.25">
      <c r="A692" s="36"/>
      <c r="N692" s="69"/>
      <c r="O692" s="69"/>
      <c r="S692" s="70"/>
      <c r="T692" s="70"/>
      <c r="U692" s="70"/>
      <c r="V692" s="70"/>
      <c r="W692" s="70"/>
      <c r="X692" s="70"/>
      <c r="Y692" s="70"/>
    </row>
    <row r="693" spans="1:25" x14ac:dyDescent="0.25">
      <c r="A693" s="36"/>
      <c r="N693" s="69"/>
      <c r="O693" s="69"/>
      <c r="S693" s="70"/>
      <c r="T693" s="70"/>
      <c r="U693" s="70"/>
      <c r="V693" s="70"/>
      <c r="W693" s="70"/>
      <c r="X693" s="70"/>
      <c r="Y693" s="70"/>
    </row>
    <row r="694" spans="1:25" x14ac:dyDescent="0.25">
      <c r="A694" s="36"/>
      <c r="N694" s="69"/>
      <c r="O694" s="69"/>
      <c r="S694" s="70"/>
      <c r="T694" s="70"/>
      <c r="U694" s="70"/>
      <c r="V694" s="70"/>
      <c r="W694" s="70"/>
      <c r="X694" s="70"/>
      <c r="Y694" s="70"/>
    </row>
    <row r="695" spans="1:25" x14ac:dyDescent="0.25">
      <c r="A695" s="36"/>
      <c r="N695" s="69"/>
      <c r="O695" s="69"/>
      <c r="S695" s="70"/>
      <c r="T695" s="70"/>
      <c r="U695" s="70"/>
      <c r="V695" s="70"/>
      <c r="W695" s="70"/>
      <c r="X695" s="70"/>
      <c r="Y695" s="70"/>
    </row>
    <row r="696" spans="1:25" x14ac:dyDescent="0.25">
      <c r="A696" s="36"/>
      <c r="N696" s="69"/>
      <c r="O696" s="69"/>
      <c r="S696" s="70"/>
      <c r="T696" s="70"/>
      <c r="U696" s="70"/>
      <c r="V696" s="70"/>
      <c r="W696" s="70"/>
      <c r="X696" s="70"/>
      <c r="Y696" s="70"/>
    </row>
    <row r="697" spans="1:25" x14ac:dyDescent="0.25">
      <c r="A697" s="36"/>
      <c r="N697" s="69"/>
      <c r="O697" s="69"/>
      <c r="S697" s="70"/>
      <c r="T697" s="70"/>
      <c r="U697" s="70"/>
      <c r="V697" s="70"/>
      <c r="W697" s="70"/>
      <c r="X697" s="70"/>
      <c r="Y697" s="70"/>
    </row>
    <row r="698" spans="1:25" x14ac:dyDescent="0.25">
      <c r="A698" s="36"/>
      <c r="N698" s="69"/>
      <c r="O698" s="69"/>
      <c r="S698" s="70"/>
      <c r="T698" s="70"/>
      <c r="U698" s="70"/>
      <c r="V698" s="70"/>
      <c r="W698" s="70"/>
      <c r="X698" s="70"/>
      <c r="Y698" s="70"/>
    </row>
    <row r="699" spans="1:25" x14ac:dyDescent="0.25">
      <c r="A699" s="36"/>
      <c r="N699" s="69"/>
      <c r="O699" s="69"/>
      <c r="S699" s="70"/>
      <c r="T699" s="70"/>
      <c r="U699" s="70"/>
      <c r="V699" s="70"/>
      <c r="W699" s="70"/>
      <c r="X699" s="70"/>
      <c r="Y699" s="70"/>
    </row>
    <row r="700" spans="1:25" x14ac:dyDescent="0.25">
      <c r="A700" s="36"/>
      <c r="N700" s="69"/>
      <c r="O700" s="69"/>
      <c r="S700" s="70"/>
      <c r="T700" s="70"/>
      <c r="U700" s="70"/>
      <c r="V700" s="70"/>
      <c r="W700" s="70"/>
      <c r="X700" s="70"/>
      <c r="Y700" s="70"/>
    </row>
    <row r="701" spans="1:25" x14ac:dyDescent="0.25">
      <c r="A701" s="36"/>
      <c r="N701" s="69"/>
      <c r="O701" s="69"/>
      <c r="S701" s="70"/>
      <c r="T701" s="70"/>
      <c r="U701" s="70"/>
      <c r="V701" s="70"/>
      <c r="W701" s="70"/>
      <c r="X701" s="70"/>
      <c r="Y701" s="70"/>
    </row>
    <row r="702" spans="1:25" x14ac:dyDescent="0.25">
      <c r="A702" s="36"/>
      <c r="N702" s="69"/>
      <c r="O702" s="69"/>
      <c r="S702" s="70"/>
      <c r="T702" s="70"/>
      <c r="U702" s="70"/>
      <c r="V702" s="70"/>
      <c r="W702" s="70"/>
      <c r="X702" s="70"/>
      <c r="Y702" s="70"/>
    </row>
    <row r="703" spans="1:25" x14ac:dyDescent="0.25">
      <c r="A703" s="36"/>
      <c r="N703" s="69"/>
      <c r="O703" s="69"/>
      <c r="S703" s="70"/>
      <c r="T703" s="70"/>
      <c r="U703" s="70"/>
      <c r="V703" s="70"/>
      <c r="W703" s="70"/>
      <c r="X703" s="70"/>
      <c r="Y703" s="70"/>
    </row>
    <row r="704" spans="1:25" x14ac:dyDescent="0.25">
      <c r="A704" s="36"/>
      <c r="N704" s="69"/>
      <c r="O704" s="69"/>
      <c r="S704" s="70"/>
      <c r="T704" s="70"/>
      <c r="U704" s="70"/>
      <c r="V704" s="70"/>
      <c r="W704" s="70"/>
      <c r="X704" s="70"/>
      <c r="Y704" s="70"/>
    </row>
    <row r="705" spans="1:25" x14ac:dyDescent="0.25">
      <c r="A705" s="36"/>
      <c r="N705" s="69"/>
      <c r="O705" s="69"/>
      <c r="S705" s="70"/>
      <c r="T705" s="70"/>
      <c r="U705" s="70"/>
      <c r="V705" s="70"/>
      <c r="W705" s="70"/>
      <c r="X705" s="70"/>
      <c r="Y705" s="70"/>
    </row>
    <row r="706" spans="1:25" x14ac:dyDescent="0.25">
      <c r="A706" s="36"/>
      <c r="N706" s="69"/>
      <c r="O706" s="69"/>
      <c r="S706" s="70"/>
      <c r="T706" s="70"/>
      <c r="U706" s="70"/>
      <c r="V706" s="70"/>
      <c r="W706" s="70"/>
      <c r="X706" s="70"/>
      <c r="Y706" s="70"/>
    </row>
    <row r="707" spans="1:25" x14ac:dyDescent="0.25">
      <c r="A707" s="36"/>
      <c r="N707" s="69"/>
      <c r="O707" s="69"/>
      <c r="S707" s="70"/>
      <c r="T707" s="70"/>
      <c r="U707" s="70"/>
      <c r="V707" s="70"/>
      <c r="W707" s="70"/>
      <c r="X707" s="70"/>
      <c r="Y707" s="70"/>
    </row>
    <row r="708" spans="1:25" x14ac:dyDescent="0.25">
      <c r="A708" s="36"/>
      <c r="N708" s="69"/>
      <c r="O708" s="69"/>
      <c r="S708" s="70"/>
      <c r="T708" s="70"/>
      <c r="U708" s="70"/>
      <c r="V708" s="70"/>
      <c r="W708" s="70"/>
      <c r="X708" s="70"/>
      <c r="Y708" s="70"/>
    </row>
    <row r="709" spans="1:25" x14ac:dyDescent="0.25">
      <c r="A709" s="36"/>
      <c r="N709" s="69"/>
      <c r="O709" s="69"/>
      <c r="S709" s="70"/>
      <c r="T709" s="70"/>
      <c r="U709" s="70"/>
      <c r="V709" s="70"/>
      <c r="W709" s="70"/>
      <c r="X709" s="70"/>
      <c r="Y709" s="70"/>
    </row>
    <row r="710" spans="1:25" x14ac:dyDescent="0.25">
      <c r="A710" s="36"/>
      <c r="N710" s="69"/>
      <c r="O710" s="69"/>
      <c r="S710" s="70"/>
      <c r="T710" s="70"/>
      <c r="U710" s="70"/>
      <c r="V710" s="70"/>
      <c r="W710" s="70"/>
      <c r="X710" s="70"/>
      <c r="Y710" s="70"/>
    </row>
    <row r="711" spans="1:25" x14ac:dyDescent="0.25">
      <c r="A711" s="36"/>
      <c r="N711" s="69"/>
      <c r="O711" s="69"/>
      <c r="S711" s="70"/>
      <c r="T711" s="70"/>
      <c r="U711" s="70"/>
      <c r="V711" s="70"/>
      <c r="W711" s="70"/>
      <c r="X711" s="70"/>
      <c r="Y711" s="70"/>
    </row>
    <row r="712" spans="1:25" x14ac:dyDescent="0.25">
      <c r="A712" s="36"/>
      <c r="N712" s="69"/>
      <c r="O712" s="69"/>
      <c r="S712" s="70"/>
      <c r="T712" s="70"/>
      <c r="U712" s="70"/>
      <c r="V712" s="70"/>
      <c r="W712" s="70"/>
      <c r="X712" s="70"/>
      <c r="Y712" s="70"/>
    </row>
    <row r="713" spans="1:25" x14ac:dyDescent="0.25">
      <c r="A713" s="36"/>
      <c r="N713" s="69"/>
      <c r="O713" s="69"/>
      <c r="S713" s="70"/>
      <c r="T713" s="70"/>
      <c r="U713" s="70"/>
      <c r="V713" s="70"/>
      <c r="W713" s="70"/>
      <c r="X713" s="70"/>
      <c r="Y713" s="70"/>
    </row>
    <row r="714" spans="1:25" x14ac:dyDescent="0.25">
      <c r="A714" s="36"/>
      <c r="N714" s="69"/>
      <c r="O714" s="69"/>
      <c r="S714" s="70"/>
      <c r="T714" s="70"/>
      <c r="U714" s="70"/>
      <c r="V714" s="70"/>
      <c r="W714" s="70"/>
      <c r="X714" s="70"/>
      <c r="Y714" s="70"/>
    </row>
    <row r="715" spans="1:25" x14ac:dyDescent="0.25">
      <c r="A715" s="36"/>
      <c r="N715" s="69"/>
      <c r="O715" s="69"/>
      <c r="S715" s="70"/>
      <c r="T715" s="70"/>
      <c r="U715" s="70"/>
      <c r="V715" s="70"/>
      <c r="W715" s="70"/>
      <c r="X715" s="70"/>
      <c r="Y715" s="70"/>
    </row>
    <row r="716" spans="1:25" x14ac:dyDescent="0.25">
      <c r="A716" s="36"/>
      <c r="N716" s="69"/>
      <c r="O716" s="69"/>
      <c r="S716" s="70"/>
      <c r="T716" s="70"/>
      <c r="U716" s="70"/>
      <c r="V716" s="70"/>
      <c r="W716" s="70"/>
      <c r="X716" s="70"/>
      <c r="Y716" s="70"/>
    </row>
    <row r="717" spans="1:25" x14ac:dyDescent="0.25">
      <c r="A717" s="36"/>
      <c r="N717" s="69"/>
      <c r="O717" s="69"/>
      <c r="S717" s="70"/>
      <c r="T717" s="70"/>
      <c r="U717" s="70"/>
      <c r="V717" s="70"/>
      <c r="W717" s="70"/>
      <c r="X717" s="70"/>
      <c r="Y717" s="70"/>
    </row>
    <row r="718" spans="1:25" x14ac:dyDescent="0.25">
      <c r="A718" s="36"/>
      <c r="N718" s="69"/>
      <c r="O718" s="69"/>
      <c r="S718" s="70"/>
      <c r="T718" s="70"/>
      <c r="U718" s="70"/>
      <c r="V718" s="70"/>
      <c r="W718" s="70"/>
      <c r="X718" s="70"/>
      <c r="Y718" s="70"/>
    </row>
    <row r="719" spans="1:25" x14ac:dyDescent="0.25">
      <c r="A719" s="36"/>
      <c r="N719" s="69"/>
      <c r="O719" s="69"/>
      <c r="S719" s="70"/>
      <c r="T719" s="70"/>
      <c r="U719" s="70"/>
      <c r="V719" s="70"/>
      <c r="W719" s="70"/>
      <c r="X719" s="70"/>
      <c r="Y719" s="70"/>
    </row>
    <row r="720" spans="1:25" x14ac:dyDescent="0.25">
      <c r="A720" s="36"/>
      <c r="N720" s="69"/>
      <c r="O720" s="69"/>
      <c r="S720" s="70"/>
      <c r="T720" s="70"/>
      <c r="U720" s="70"/>
      <c r="V720" s="70"/>
      <c r="W720" s="70"/>
      <c r="X720" s="70"/>
      <c r="Y720" s="70"/>
    </row>
    <row r="721" spans="1:25" x14ac:dyDescent="0.25">
      <c r="A721" s="36"/>
      <c r="N721" s="69"/>
      <c r="O721" s="69"/>
      <c r="S721" s="70"/>
      <c r="T721" s="70"/>
      <c r="U721" s="70"/>
      <c r="V721" s="70"/>
      <c r="W721" s="70"/>
      <c r="X721" s="70"/>
      <c r="Y721" s="70"/>
    </row>
    <row r="722" spans="1:25" x14ac:dyDescent="0.25">
      <c r="A722" s="36"/>
      <c r="N722" s="69"/>
      <c r="O722" s="69"/>
      <c r="S722" s="70"/>
      <c r="T722" s="70"/>
      <c r="U722" s="70"/>
      <c r="V722" s="70"/>
      <c r="W722" s="70"/>
      <c r="X722" s="70"/>
      <c r="Y722" s="70"/>
    </row>
    <row r="723" spans="1:25" x14ac:dyDescent="0.25">
      <c r="A723" s="36"/>
      <c r="N723" s="69"/>
      <c r="O723" s="69"/>
      <c r="S723" s="70"/>
      <c r="T723" s="70"/>
      <c r="U723" s="70"/>
      <c r="V723" s="70"/>
      <c r="W723" s="70"/>
      <c r="X723" s="70"/>
      <c r="Y723" s="70"/>
    </row>
    <row r="724" spans="1:25" x14ac:dyDescent="0.25">
      <c r="A724" s="36"/>
      <c r="N724" s="69"/>
      <c r="O724" s="69"/>
      <c r="S724" s="70"/>
      <c r="T724" s="70"/>
      <c r="U724" s="70"/>
      <c r="V724" s="70"/>
      <c r="W724" s="70"/>
      <c r="X724" s="70"/>
      <c r="Y724" s="70"/>
    </row>
    <row r="725" spans="1:25" x14ac:dyDescent="0.25">
      <c r="A725" s="36"/>
      <c r="N725" s="69"/>
      <c r="O725" s="69"/>
      <c r="S725" s="70"/>
      <c r="T725" s="70"/>
      <c r="U725" s="70"/>
      <c r="V725" s="70"/>
      <c r="W725" s="70"/>
      <c r="X725" s="70"/>
      <c r="Y725" s="70"/>
    </row>
    <row r="726" spans="1:25" x14ac:dyDescent="0.25">
      <c r="A726" s="36"/>
      <c r="N726" s="69"/>
      <c r="O726" s="69"/>
      <c r="S726" s="70"/>
      <c r="T726" s="70"/>
      <c r="U726" s="70"/>
      <c r="V726" s="70"/>
      <c r="W726" s="70"/>
      <c r="X726" s="70"/>
      <c r="Y726" s="70"/>
    </row>
    <row r="727" spans="1:25" x14ac:dyDescent="0.25">
      <c r="A727" s="36"/>
      <c r="N727" s="69"/>
      <c r="O727" s="69"/>
      <c r="S727" s="70"/>
      <c r="T727" s="70"/>
      <c r="U727" s="70"/>
      <c r="V727" s="70"/>
      <c r="W727" s="70"/>
      <c r="X727" s="70"/>
      <c r="Y727" s="70"/>
    </row>
    <row r="728" spans="1:25" x14ac:dyDescent="0.25">
      <c r="A728" s="36"/>
      <c r="N728" s="69"/>
      <c r="O728" s="69"/>
      <c r="S728" s="70"/>
      <c r="T728" s="70"/>
      <c r="U728" s="70"/>
      <c r="V728" s="70"/>
      <c r="W728" s="70"/>
      <c r="X728" s="70"/>
      <c r="Y728" s="70"/>
    </row>
    <row r="729" spans="1:25" x14ac:dyDescent="0.25">
      <c r="A729" s="36"/>
      <c r="N729" s="69"/>
      <c r="O729" s="69"/>
      <c r="S729" s="70"/>
      <c r="T729" s="70"/>
      <c r="U729" s="70"/>
      <c r="V729" s="70"/>
      <c r="W729" s="70"/>
      <c r="X729" s="70"/>
      <c r="Y729" s="70"/>
    </row>
    <row r="730" spans="1:25" x14ac:dyDescent="0.25">
      <c r="A730" s="36"/>
      <c r="N730" s="69"/>
      <c r="O730" s="69"/>
      <c r="S730" s="70"/>
      <c r="T730" s="70"/>
      <c r="U730" s="70"/>
      <c r="V730" s="70"/>
      <c r="W730" s="70"/>
      <c r="X730" s="70"/>
      <c r="Y730" s="70"/>
    </row>
    <row r="731" spans="1:25" x14ac:dyDescent="0.25">
      <c r="A731" s="36"/>
      <c r="N731" s="69"/>
      <c r="O731" s="69"/>
      <c r="S731" s="70"/>
      <c r="T731" s="70"/>
      <c r="U731" s="70"/>
      <c r="V731" s="70"/>
      <c r="W731" s="70"/>
      <c r="X731" s="70"/>
      <c r="Y731" s="70"/>
    </row>
    <row r="732" spans="1:25" x14ac:dyDescent="0.25">
      <c r="A732" s="36"/>
      <c r="N732" s="69"/>
      <c r="O732" s="69"/>
      <c r="S732" s="70"/>
      <c r="T732" s="70"/>
      <c r="U732" s="70"/>
      <c r="V732" s="70"/>
      <c r="W732" s="70"/>
      <c r="X732" s="70"/>
      <c r="Y732" s="70"/>
    </row>
    <row r="733" spans="1:25" x14ac:dyDescent="0.25">
      <c r="A733" s="36"/>
      <c r="N733" s="69"/>
      <c r="O733" s="69"/>
      <c r="S733" s="70"/>
      <c r="T733" s="70"/>
      <c r="U733" s="70"/>
      <c r="V733" s="70"/>
      <c r="W733" s="70"/>
      <c r="X733" s="70"/>
      <c r="Y733" s="70"/>
    </row>
    <row r="734" spans="1:25" x14ac:dyDescent="0.25">
      <c r="A734" s="36"/>
      <c r="N734" s="69"/>
      <c r="O734" s="69"/>
      <c r="S734" s="70"/>
      <c r="T734" s="70"/>
      <c r="U734" s="70"/>
      <c r="V734" s="70"/>
      <c r="W734" s="70"/>
      <c r="X734" s="70"/>
      <c r="Y734" s="70"/>
    </row>
    <row r="735" spans="1:25" x14ac:dyDescent="0.25">
      <c r="A735" s="36"/>
      <c r="N735" s="69"/>
      <c r="O735" s="69"/>
      <c r="S735" s="70"/>
      <c r="T735" s="70"/>
      <c r="U735" s="70"/>
      <c r="V735" s="70"/>
      <c r="W735" s="70"/>
      <c r="X735" s="70"/>
      <c r="Y735" s="70"/>
    </row>
    <row r="736" spans="1:25" x14ac:dyDescent="0.25">
      <c r="A736" s="36"/>
      <c r="N736" s="69"/>
      <c r="O736" s="69"/>
      <c r="S736" s="70"/>
      <c r="T736" s="70"/>
      <c r="U736" s="70"/>
      <c r="V736" s="70"/>
      <c r="W736" s="70"/>
      <c r="X736" s="70"/>
      <c r="Y736" s="70"/>
    </row>
    <row r="737" spans="1:25" x14ac:dyDescent="0.25">
      <c r="A737" s="36"/>
      <c r="N737" s="69"/>
      <c r="O737" s="69"/>
      <c r="S737" s="70"/>
      <c r="T737" s="70"/>
      <c r="U737" s="70"/>
      <c r="V737" s="70"/>
      <c r="W737" s="70"/>
      <c r="X737" s="70"/>
      <c r="Y737" s="70"/>
    </row>
    <row r="738" spans="1:25" x14ac:dyDescent="0.25">
      <c r="A738" s="36"/>
      <c r="N738" s="69"/>
      <c r="O738" s="69"/>
      <c r="S738" s="70"/>
      <c r="T738" s="70"/>
      <c r="U738" s="70"/>
      <c r="V738" s="70"/>
      <c r="W738" s="70"/>
      <c r="X738" s="70"/>
      <c r="Y738" s="70"/>
    </row>
    <row r="739" spans="1:25" x14ac:dyDescent="0.25">
      <c r="A739" s="36"/>
      <c r="N739" s="69"/>
      <c r="O739" s="69"/>
      <c r="S739" s="70"/>
      <c r="T739" s="70"/>
      <c r="U739" s="70"/>
      <c r="V739" s="70"/>
      <c r="W739" s="70"/>
      <c r="X739" s="70"/>
      <c r="Y739" s="70"/>
    </row>
    <row r="740" spans="1:25" x14ac:dyDescent="0.25">
      <c r="A740" s="36"/>
      <c r="N740" s="69"/>
      <c r="O740" s="69"/>
      <c r="S740" s="70"/>
      <c r="T740" s="70"/>
      <c r="U740" s="70"/>
      <c r="V740" s="70"/>
      <c r="W740" s="70"/>
      <c r="X740" s="70"/>
      <c r="Y740" s="70"/>
    </row>
    <row r="741" spans="1:25" x14ac:dyDescent="0.25">
      <c r="A741" s="36"/>
      <c r="N741" s="69"/>
      <c r="O741" s="69"/>
      <c r="S741" s="70"/>
      <c r="T741" s="70"/>
      <c r="U741" s="70"/>
      <c r="V741" s="70"/>
      <c r="W741" s="70"/>
      <c r="X741" s="70"/>
      <c r="Y741" s="70"/>
    </row>
    <row r="742" spans="1:25" x14ac:dyDescent="0.25">
      <c r="A742" s="36"/>
      <c r="N742" s="69"/>
      <c r="O742" s="69"/>
      <c r="S742" s="70"/>
      <c r="T742" s="70"/>
      <c r="U742" s="70"/>
      <c r="V742" s="70"/>
      <c r="W742" s="70"/>
      <c r="X742" s="70"/>
      <c r="Y742" s="70"/>
    </row>
    <row r="743" spans="1:25" x14ac:dyDescent="0.25">
      <c r="A743" s="36"/>
      <c r="N743" s="69"/>
      <c r="O743" s="69"/>
      <c r="S743" s="70"/>
      <c r="T743" s="70"/>
      <c r="U743" s="70"/>
      <c r="V743" s="70"/>
      <c r="W743" s="70"/>
      <c r="X743" s="70"/>
      <c r="Y743" s="70"/>
    </row>
    <row r="744" spans="1:25" x14ac:dyDescent="0.25">
      <c r="A744" s="36"/>
      <c r="N744" s="69"/>
      <c r="O744" s="69"/>
      <c r="S744" s="70"/>
      <c r="T744" s="70"/>
      <c r="U744" s="70"/>
      <c r="V744" s="70"/>
      <c r="W744" s="70"/>
      <c r="X744" s="70"/>
      <c r="Y744" s="70"/>
    </row>
    <row r="745" spans="1:25" x14ac:dyDescent="0.25">
      <c r="A745" s="36"/>
      <c r="N745" s="69"/>
      <c r="O745" s="69"/>
      <c r="S745" s="70"/>
      <c r="T745" s="70"/>
      <c r="U745" s="70"/>
      <c r="V745" s="70"/>
      <c r="W745" s="70"/>
      <c r="X745" s="70"/>
      <c r="Y745" s="70"/>
    </row>
    <row r="746" spans="1:25" x14ac:dyDescent="0.25">
      <c r="A746" s="36"/>
      <c r="N746" s="69"/>
      <c r="O746" s="69"/>
      <c r="S746" s="70"/>
      <c r="T746" s="70"/>
      <c r="U746" s="70"/>
      <c r="V746" s="70"/>
      <c r="W746" s="70"/>
      <c r="X746" s="70"/>
      <c r="Y746" s="70"/>
    </row>
    <row r="747" spans="1:25" x14ac:dyDescent="0.25">
      <c r="A747" s="36"/>
      <c r="N747" s="69"/>
      <c r="O747" s="69"/>
      <c r="S747" s="70"/>
      <c r="T747" s="70"/>
      <c r="U747" s="70"/>
      <c r="V747" s="70"/>
      <c r="W747" s="70"/>
      <c r="X747" s="70"/>
      <c r="Y747" s="70"/>
    </row>
    <row r="748" spans="1:25" x14ac:dyDescent="0.25">
      <c r="A748" s="36"/>
      <c r="N748" s="69"/>
      <c r="O748" s="69"/>
      <c r="S748" s="70"/>
      <c r="T748" s="70"/>
      <c r="U748" s="70"/>
      <c r="V748" s="70"/>
      <c r="W748" s="70"/>
      <c r="X748" s="70"/>
      <c r="Y748" s="70"/>
    </row>
    <row r="749" spans="1:25" x14ac:dyDescent="0.25">
      <c r="A749" s="36"/>
      <c r="N749" s="69"/>
      <c r="O749" s="69"/>
      <c r="S749" s="70"/>
      <c r="T749" s="70"/>
      <c r="U749" s="70"/>
      <c r="V749" s="70"/>
      <c r="W749" s="70"/>
      <c r="X749" s="70"/>
      <c r="Y749" s="70"/>
    </row>
    <row r="750" spans="1:25" x14ac:dyDescent="0.25">
      <c r="A750" s="36"/>
      <c r="N750" s="69"/>
      <c r="O750" s="69"/>
      <c r="S750" s="70"/>
      <c r="T750" s="70"/>
      <c r="U750" s="70"/>
      <c r="V750" s="70"/>
      <c r="W750" s="70"/>
      <c r="X750" s="70"/>
      <c r="Y750" s="70"/>
    </row>
    <row r="751" spans="1:25" x14ac:dyDescent="0.25">
      <c r="A751" s="36"/>
      <c r="N751" s="69"/>
      <c r="O751" s="69"/>
      <c r="S751" s="70"/>
      <c r="T751" s="70"/>
      <c r="U751" s="70"/>
      <c r="V751" s="70"/>
      <c r="W751" s="70"/>
      <c r="X751" s="70"/>
      <c r="Y751" s="70"/>
    </row>
    <row r="752" spans="1:25" x14ac:dyDescent="0.25">
      <c r="A752" s="36"/>
      <c r="N752" s="69"/>
      <c r="O752" s="69"/>
      <c r="S752" s="70"/>
      <c r="T752" s="70"/>
      <c r="U752" s="70"/>
      <c r="V752" s="70"/>
      <c r="W752" s="70"/>
      <c r="X752" s="70"/>
      <c r="Y752" s="70"/>
    </row>
    <row r="753" spans="1:25" x14ac:dyDescent="0.25">
      <c r="A753" s="36"/>
      <c r="N753" s="69"/>
      <c r="O753" s="69"/>
      <c r="S753" s="70"/>
      <c r="T753" s="70"/>
      <c r="U753" s="70"/>
      <c r="V753" s="70"/>
      <c r="W753" s="70"/>
      <c r="X753" s="70"/>
      <c r="Y753" s="70"/>
    </row>
    <row r="754" spans="1:25" x14ac:dyDescent="0.25">
      <c r="A754" s="36"/>
      <c r="N754" s="69"/>
      <c r="O754" s="69"/>
      <c r="S754" s="70"/>
      <c r="T754" s="70"/>
      <c r="U754" s="70"/>
      <c r="V754" s="70"/>
      <c r="W754" s="70"/>
      <c r="X754" s="70"/>
      <c r="Y754" s="70"/>
    </row>
    <row r="755" spans="1:25" x14ac:dyDescent="0.25">
      <c r="A755" s="36"/>
      <c r="N755" s="69"/>
      <c r="O755" s="69"/>
      <c r="S755" s="70"/>
      <c r="T755" s="70"/>
      <c r="U755" s="70"/>
      <c r="V755" s="70"/>
      <c r="W755" s="70"/>
      <c r="X755" s="70"/>
      <c r="Y755" s="70"/>
    </row>
    <row r="756" spans="1:25" x14ac:dyDescent="0.25">
      <c r="A756" s="36"/>
      <c r="N756" s="69"/>
      <c r="O756" s="69"/>
      <c r="S756" s="70"/>
      <c r="T756" s="70"/>
      <c r="U756" s="70"/>
      <c r="V756" s="70"/>
      <c r="W756" s="70"/>
      <c r="X756" s="70"/>
      <c r="Y756" s="70"/>
    </row>
    <row r="757" spans="1:25" x14ac:dyDescent="0.25">
      <c r="A757" s="36"/>
      <c r="N757" s="69"/>
      <c r="O757" s="69"/>
      <c r="S757" s="70"/>
      <c r="T757" s="70"/>
      <c r="U757" s="70"/>
      <c r="V757" s="70"/>
      <c r="W757" s="70"/>
      <c r="X757" s="70"/>
      <c r="Y757" s="70"/>
    </row>
    <row r="758" spans="1:25" x14ac:dyDescent="0.25">
      <c r="A758" s="36"/>
      <c r="N758" s="69"/>
      <c r="O758" s="69"/>
      <c r="S758" s="70"/>
      <c r="T758" s="70"/>
      <c r="U758" s="70"/>
      <c r="V758" s="70"/>
      <c r="W758" s="70"/>
      <c r="X758" s="70"/>
      <c r="Y758" s="70"/>
    </row>
    <row r="759" spans="1:25" x14ac:dyDescent="0.25">
      <c r="A759" s="36"/>
      <c r="N759" s="69"/>
      <c r="O759" s="69"/>
      <c r="S759" s="70"/>
      <c r="T759" s="70"/>
      <c r="U759" s="70"/>
      <c r="V759" s="70"/>
      <c r="W759" s="70"/>
      <c r="X759" s="70"/>
      <c r="Y759" s="70"/>
    </row>
    <row r="760" spans="1:25" x14ac:dyDescent="0.25">
      <c r="A760" s="36"/>
      <c r="N760" s="69"/>
      <c r="O760" s="69"/>
      <c r="S760" s="70"/>
      <c r="T760" s="70"/>
      <c r="U760" s="70"/>
      <c r="V760" s="70"/>
      <c r="W760" s="70"/>
      <c r="X760" s="70"/>
      <c r="Y760" s="70"/>
    </row>
    <row r="761" spans="1:25" x14ac:dyDescent="0.25">
      <c r="A761" s="36"/>
      <c r="N761" s="69"/>
      <c r="O761" s="69"/>
      <c r="S761" s="70"/>
      <c r="T761" s="70"/>
      <c r="U761" s="70"/>
      <c r="V761" s="70"/>
      <c r="W761" s="70"/>
      <c r="X761" s="70"/>
      <c r="Y761" s="70"/>
    </row>
    <row r="762" spans="1:25" x14ac:dyDescent="0.25">
      <c r="A762" s="36"/>
      <c r="N762" s="69"/>
      <c r="O762" s="69"/>
      <c r="S762" s="70"/>
      <c r="T762" s="70"/>
      <c r="U762" s="70"/>
      <c r="V762" s="70"/>
      <c r="W762" s="70"/>
      <c r="X762" s="70"/>
      <c r="Y762" s="70"/>
    </row>
    <row r="763" spans="1:25" x14ac:dyDescent="0.25">
      <c r="A763" s="36"/>
      <c r="N763" s="69"/>
      <c r="O763" s="69"/>
      <c r="S763" s="70"/>
      <c r="T763" s="70"/>
      <c r="U763" s="70"/>
      <c r="V763" s="70"/>
      <c r="W763" s="70"/>
      <c r="X763" s="70"/>
      <c r="Y763" s="70"/>
    </row>
    <row r="764" spans="1:25" x14ac:dyDescent="0.25">
      <c r="A764" s="36"/>
      <c r="N764" s="69"/>
      <c r="O764" s="69"/>
      <c r="S764" s="70"/>
      <c r="T764" s="70"/>
      <c r="U764" s="70"/>
      <c r="V764" s="70"/>
      <c r="W764" s="70"/>
      <c r="X764" s="70"/>
      <c r="Y764" s="70"/>
    </row>
    <row r="765" spans="1:25" x14ac:dyDescent="0.25">
      <c r="A765" s="36"/>
      <c r="N765" s="69"/>
      <c r="O765" s="69"/>
      <c r="S765" s="70"/>
      <c r="T765" s="70"/>
      <c r="U765" s="70"/>
      <c r="V765" s="70"/>
      <c r="W765" s="70"/>
      <c r="X765" s="70"/>
      <c r="Y765" s="70"/>
    </row>
    <row r="766" spans="1:25" x14ac:dyDescent="0.25">
      <c r="A766" s="36"/>
      <c r="N766" s="69"/>
      <c r="O766" s="69"/>
      <c r="S766" s="70"/>
      <c r="T766" s="70"/>
      <c r="U766" s="70"/>
      <c r="V766" s="70"/>
      <c r="W766" s="70"/>
      <c r="X766" s="70"/>
      <c r="Y766" s="70"/>
    </row>
    <row r="767" spans="1:25" x14ac:dyDescent="0.25">
      <c r="A767" s="36"/>
      <c r="N767" s="69"/>
      <c r="O767" s="69"/>
      <c r="S767" s="70"/>
      <c r="T767" s="70"/>
      <c r="U767" s="70"/>
      <c r="V767" s="70"/>
      <c r="W767" s="70"/>
      <c r="X767" s="70"/>
      <c r="Y767" s="70"/>
    </row>
    <row r="768" spans="1:25" x14ac:dyDescent="0.25">
      <c r="A768" s="36"/>
      <c r="N768" s="69"/>
      <c r="O768" s="69"/>
      <c r="S768" s="70"/>
      <c r="T768" s="70"/>
      <c r="U768" s="70"/>
      <c r="V768" s="70"/>
      <c r="W768" s="70"/>
      <c r="X768" s="70"/>
      <c r="Y768" s="70"/>
    </row>
    <row r="769" spans="1:25" x14ac:dyDescent="0.25">
      <c r="A769" s="36"/>
      <c r="N769" s="69"/>
      <c r="O769" s="69"/>
      <c r="S769" s="70"/>
      <c r="T769" s="70"/>
      <c r="U769" s="70"/>
      <c r="V769" s="70"/>
      <c r="W769" s="70"/>
      <c r="X769" s="70"/>
      <c r="Y769" s="70"/>
    </row>
    <row r="770" spans="1:25" x14ac:dyDescent="0.25">
      <c r="A770" s="36"/>
      <c r="N770" s="69"/>
      <c r="O770" s="69"/>
      <c r="S770" s="70"/>
      <c r="T770" s="70"/>
      <c r="U770" s="70"/>
      <c r="V770" s="70"/>
      <c r="W770" s="70"/>
      <c r="X770" s="70"/>
      <c r="Y770" s="70"/>
    </row>
    <row r="771" spans="1:25" x14ac:dyDescent="0.25">
      <c r="A771" s="36"/>
      <c r="N771" s="69"/>
      <c r="O771" s="69"/>
      <c r="S771" s="70"/>
      <c r="T771" s="70"/>
      <c r="U771" s="70"/>
      <c r="V771" s="70"/>
      <c r="W771" s="70"/>
      <c r="X771" s="70"/>
      <c r="Y771" s="70"/>
    </row>
    <row r="772" spans="1:25" x14ac:dyDescent="0.25">
      <c r="A772" s="36"/>
      <c r="N772" s="69"/>
      <c r="O772" s="69"/>
      <c r="S772" s="70"/>
      <c r="T772" s="70"/>
      <c r="U772" s="70"/>
      <c r="V772" s="70"/>
      <c r="W772" s="70"/>
      <c r="X772" s="70"/>
      <c r="Y772" s="70"/>
    </row>
    <row r="773" spans="1:25" x14ac:dyDescent="0.25">
      <c r="A773" s="36"/>
      <c r="N773" s="69"/>
      <c r="O773" s="69"/>
      <c r="S773" s="70"/>
      <c r="T773" s="70"/>
      <c r="U773" s="70"/>
      <c r="V773" s="70"/>
      <c r="W773" s="70"/>
      <c r="X773" s="70"/>
      <c r="Y773" s="70"/>
    </row>
    <row r="774" spans="1:25" x14ac:dyDescent="0.25">
      <c r="A774" s="36"/>
      <c r="N774" s="69"/>
      <c r="O774" s="69"/>
      <c r="S774" s="70"/>
      <c r="T774" s="70"/>
      <c r="U774" s="70"/>
      <c r="V774" s="70"/>
      <c r="W774" s="70"/>
      <c r="X774" s="70"/>
      <c r="Y774" s="70"/>
    </row>
    <row r="775" spans="1:25" x14ac:dyDescent="0.25">
      <c r="A775" s="36"/>
      <c r="N775" s="69"/>
      <c r="O775" s="69"/>
      <c r="S775" s="70"/>
      <c r="T775" s="70"/>
      <c r="U775" s="70"/>
      <c r="V775" s="70"/>
      <c r="W775" s="70"/>
      <c r="X775" s="70"/>
      <c r="Y775" s="70"/>
    </row>
    <row r="776" spans="1:25" x14ac:dyDescent="0.25">
      <c r="A776" s="36"/>
      <c r="N776" s="69"/>
      <c r="O776" s="69"/>
      <c r="S776" s="70"/>
      <c r="T776" s="70"/>
      <c r="U776" s="70"/>
      <c r="V776" s="70"/>
      <c r="W776" s="70"/>
      <c r="X776" s="70"/>
      <c r="Y776" s="70"/>
    </row>
    <row r="777" spans="1:25" x14ac:dyDescent="0.25">
      <c r="A777" s="36"/>
      <c r="N777" s="69"/>
      <c r="O777" s="69"/>
      <c r="S777" s="70"/>
      <c r="T777" s="70"/>
      <c r="U777" s="70"/>
      <c r="V777" s="70"/>
      <c r="W777" s="70"/>
      <c r="X777" s="70"/>
      <c r="Y777" s="70"/>
    </row>
    <row r="778" spans="1:25" x14ac:dyDescent="0.25">
      <c r="A778" s="36"/>
      <c r="N778" s="69"/>
      <c r="O778" s="69"/>
      <c r="S778" s="70"/>
      <c r="T778" s="70"/>
      <c r="U778" s="70"/>
      <c r="V778" s="70"/>
      <c r="W778" s="70"/>
      <c r="X778" s="70"/>
      <c r="Y778" s="70"/>
    </row>
    <row r="779" spans="1:25" x14ac:dyDescent="0.25">
      <c r="A779" s="36"/>
      <c r="N779" s="69"/>
      <c r="O779" s="69"/>
      <c r="S779" s="70"/>
      <c r="T779" s="70"/>
      <c r="U779" s="70"/>
      <c r="V779" s="70"/>
      <c r="W779" s="70"/>
      <c r="X779" s="70"/>
      <c r="Y779" s="70"/>
    </row>
    <row r="780" spans="1:25" x14ac:dyDescent="0.25">
      <c r="A780" s="36"/>
      <c r="N780" s="69"/>
      <c r="O780" s="69"/>
      <c r="S780" s="70"/>
      <c r="T780" s="70"/>
      <c r="U780" s="70"/>
      <c r="V780" s="70"/>
      <c r="W780" s="70"/>
      <c r="X780" s="70"/>
      <c r="Y780" s="70"/>
    </row>
    <row r="781" spans="1:25" x14ac:dyDescent="0.25">
      <c r="A781" s="36"/>
      <c r="N781" s="69"/>
      <c r="O781" s="69"/>
      <c r="S781" s="70"/>
      <c r="T781" s="70"/>
      <c r="U781" s="70"/>
      <c r="V781" s="70"/>
      <c r="W781" s="70"/>
      <c r="X781" s="70"/>
      <c r="Y781" s="70"/>
    </row>
    <row r="782" spans="1:25" x14ac:dyDescent="0.25">
      <c r="A782" s="36"/>
      <c r="N782" s="69"/>
      <c r="O782" s="69"/>
      <c r="S782" s="70"/>
      <c r="T782" s="70"/>
      <c r="U782" s="70"/>
      <c r="V782" s="70"/>
      <c r="W782" s="70"/>
      <c r="X782" s="70"/>
      <c r="Y782" s="70"/>
    </row>
    <row r="783" spans="1:25" x14ac:dyDescent="0.25">
      <c r="A783" s="36"/>
      <c r="N783" s="69"/>
      <c r="O783" s="69"/>
      <c r="S783" s="70"/>
      <c r="T783" s="70"/>
      <c r="U783" s="70"/>
      <c r="V783" s="70"/>
      <c r="W783" s="70"/>
      <c r="X783" s="70"/>
      <c r="Y783" s="70"/>
    </row>
    <row r="784" spans="1:25" x14ac:dyDescent="0.25">
      <c r="A784" s="36"/>
      <c r="N784" s="69"/>
      <c r="O784" s="69"/>
      <c r="S784" s="70"/>
      <c r="T784" s="70"/>
      <c r="U784" s="70"/>
      <c r="V784" s="70"/>
      <c r="W784" s="70"/>
      <c r="X784" s="70"/>
      <c r="Y784" s="70"/>
    </row>
    <row r="785" spans="1:25" x14ac:dyDescent="0.25">
      <c r="A785" s="36"/>
      <c r="N785" s="69"/>
      <c r="O785" s="69"/>
      <c r="S785" s="70"/>
      <c r="T785" s="70"/>
      <c r="U785" s="70"/>
      <c r="V785" s="70"/>
      <c r="W785" s="70"/>
      <c r="X785" s="70"/>
      <c r="Y785" s="70"/>
    </row>
    <row r="786" spans="1:25" x14ac:dyDescent="0.25">
      <c r="A786" s="36"/>
      <c r="N786" s="69"/>
      <c r="O786" s="69"/>
      <c r="S786" s="70"/>
      <c r="T786" s="70"/>
      <c r="U786" s="70"/>
      <c r="V786" s="70"/>
      <c r="W786" s="70"/>
      <c r="X786" s="70"/>
      <c r="Y786" s="70"/>
    </row>
    <row r="787" spans="1:25" x14ac:dyDescent="0.25">
      <c r="A787" s="36"/>
      <c r="N787" s="69"/>
      <c r="O787" s="69"/>
      <c r="S787" s="70"/>
      <c r="T787" s="70"/>
      <c r="U787" s="70"/>
      <c r="V787" s="70"/>
      <c r="W787" s="70"/>
      <c r="X787" s="70"/>
      <c r="Y787" s="70"/>
    </row>
    <row r="788" spans="1:25" x14ac:dyDescent="0.25">
      <c r="A788" s="36"/>
      <c r="N788" s="69"/>
      <c r="O788" s="69"/>
      <c r="S788" s="70"/>
      <c r="T788" s="70"/>
      <c r="U788" s="70"/>
      <c r="V788" s="70"/>
      <c r="W788" s="70"/>
      <c r="X788" s="70"/>
      <c r="Y788" s="70"/>
    </row>
    <row r="789" spans="1:25" x14ac:dyDescent="0.25">
      <c r="A789" s="36"/>
      <c r="N789" s="69"/>
      <c r="O789" s="69"/>
      <c r="S789" s="70"/>
      <c r="T789" s="70"/>
      <c r="U789" s="70"/>
      <c r="V789" s="70"/>
      <c r="W789" s="70"/>
      <c r="X789" s="70"/>
      <c r="Y789" s="70"/>
    </row>
    <row r="790" spans="1:25" x14ac:dyDescent="0.25">
      <c r="A790" s="36"/>
      <c r="N790" s="69"/>
      <c r="O790" s="69"/>
      <c r="S790" s="70"/>
      <c r="T790" s="70"/>
      <c r="U790" s="70"/>
      <c r="V790" s="70"/>
      <c r="W790" s="70"/>
      <c r="X790" s="70"/>
      <c r="Y790" s="70"/>
    </row>
    <row r="791" spans="1:25" x14ac:dyDescent="0.25">
      <c r="A791" s="36"/>
      <c r="N791" s="69"/>
      <c r="O791" s="69"/>
      <c r="S791" s="70"/>
      <c r="T791" s="70"/>
      <c r="U791" s="70"/>
      <c r="V791" s="70"/>
      <c r="W791" s="70"/>
      <c r="X791" s="70"/>
      <c r="Y791" s="70"/>
    </row>
    <row r="792" spans="1:25" x14ac:dyDescent="0.25">
      <c r="A792" s="36"/>
      <c r="N792" s="69"/>
      <c r="O792" s="69"/>
      <c r="S792" s="70"/>
      <c r="T792" s="70"/>
      <c r="U792" s="70"/>
      <c r="V792" s="70"/>
      <c r="W792" s="70"/>
      <c r="X792" s="70"/>
      <c r="Y792" s="70"/>
    </row>
    <row r="793" spans="1:25" x14ac:dyDescent="0.25">
      <c r="A793" s="36"/>
      <c r="N793" s="69"/>
      <c r="O793" s="69"/>
      <c r="S793" s="70"/>
      <c r="T793" s="70"/>
      <c r="U793" s="70"/>
      <c r="V793" s="70"/>
      <c r="W793" s="70"/>
      <c r="X793" s="70"/>
      <c r="Y793" s="70"/>
    </row>
    <row r="794" spans="1:25" x14ac:dyDescent="0.25">
      <c r="A794" s="36"/>
      <c r="N794" s="69"/>
      <c r="O794" s="69"/>
      <c r="S794" s="70"/>
      <c r="T794" s="70"/>
      <c r="U794" s="70"/>
      <c r="V794" s="70"/>
      <c r="W794" s="70"/>
      <c r="X794" s="70"/>
      <c r="Y794" s="70"/>
    </row>
    <row r="795" spans="1:25" x14ac:dyDescent="0.25">
      <c r="A795" s="36"/>
      <c r="N795" s="69"/>
      <c r="O795" s="69"/>
      <c r="S795" s="70"/>
      <c r="T795" s="70"/>
      <c r="U795" s="70"/>
      <c r="V795" s="70"/>
      <c r="W795" s="70"/>
      <c r="X795" s="70"/>
      <c r="Y795" s="70"/>
    </row>
    <row r="796" spans="1:25" x14ac:dyDescent="0.25">
      <c r="A796" s="36"/>
      <c r="N796" s="69"/>
      <c r="O796" s="69"/>
      <c r="S796" s="70"/>
      <c r="T796" s="70"/>
      <c r="U796" s="70"/>
      <c r="V796" s="70"/>
      <c r="W796" s="70"/>
      <c r="X796" s="70"/>
      <c r="Y796" s="70"/>
    </row>
    <row r="797" spans="1:25" x14ac:dyDescent="0.25">
      <c r="A797" s="36"/>
      <c r="N797" s="69"/>
      <c r="O797" s="69"/>
      <c r="S797" s="70"/>
      <c r="T797" s="70"/>
      <c r="U797" s="70"/>
      <c r="V797" s="70"/>
      <c r="W797" s="70"/>
      <c r="X797" s="70"/>
      <c r="Y797" s="70"/>
    </row>
    <row r="798" spans="1:25" x14ac:dyDescent="0.25">
      <c r="A798" s="36"/>
      <c r="N798" s="69"/>
      <c r="O798" s="69"/>
      <c r="S798" s="70"/>
      <c r="T798" s="70"/>
      <c r="U798" s="70"/>
      <c r="V798" s="70"/>
      <c r="W798" s="70"/>
      <c r="X798" s="70"/>
      <c r="Y798" s="70"/>
    </row>
    <row r="799" spans="1:25" x14ac:dyDescent="0.25">
      <c r="A799" s="36"/>
      <c r="N799" s="69"/>
      <c r="O799" s="69"/>
      <c r="S799" s="70"/>
      <c r="T799" s="70"/>
      <c r="U799" s="70"/>
      <c r="V799" s="70"/>
      <c r="W799" s="70"/>
      <c r="X799" s="70"/>
      <c r="Y799" s="70"/>
    </row>
    <row r="800" spans="1:25" x14ac:dyDescent="0.25">
      <c r="A800" s="36"/>
      <c r="N800" s="69"/>
      <c r="O800" s="69"/>
      <c r="S800" s="70"/>
      <c r="T800" s="70"/>
      <c r="U800" s="70"/>
      <c r="V800" s="70"/>
      <c r="W800" s="70"/>
      <c r="X800" s="70"/>
      <c r="Y800" s="70"/>
    </row>
    <row r="801" spans="1:25" x14ac:dyDescent="0.25">
      <c r="A801" s="36"/>
      <c r="N801" s="69"/>
      <c r="O801" s="69"/>
      <c r="S801" s="70"/>
      <c r="T801" s="70"/>
      <c r="U801" s="70"/>
      <c r="V801" s="70"/>
      <c r="W801" s="70"/>
      <c r="X801" s="70"/>
      <c r="Y801" s="70"/>
    </row>
    <row r="802" spans="1:25" x14ac:dyDescent="0.25">
      <c r="A802" s="36"/>
      <c r="N802" s="69"/>
      <c r="O802" s="69"/>
      <c r="S802" s="70"/>
      <c r="T802" s="70"/>
      <c r="U802" s="70"/>
      <c r="V802" s="70"/>
      <c r="W802" s="70"/>
      <c r="X802" s="70"/>
      <c r="Y802" s="70"/>
    </row>
    <row r="803" spans="1:25" x14ac:dyDescent="0.25">
      <c r="A803" s="36"/>
      <c r="N803" s="69"/>
      <c r="O803" s="69"/>
      <c r="S803" s="70"/>
      <c r="T803" s="70"/>
      <c r="U803" s="70"/>
      <c r="V803" s="70"/>
      <c r="W803" s="70"/>
      <c r="X803" s="70"/>
      <c r="Y803" s="70"/>
    </row>
    <row r="804" spans="1:25" x14ac:dyDescent="0.25">
      <c r="A804" s="36"/>
      <c r="N804" s="69"/>
      <c r="O804" s="69"/>
      <c r="S804" s="70"/>
      <c r="T804" s="70"/>
      <c r="U804" s="70"/>
      <c r="V804" s="70"/>
      <c r="W804" s="70"/>
      <c r="X804" s="70"/>
      <c r="Y804" s="70"/>
    </row>
    <row r="805" spans="1:25" x14ac:dyDescent="0.25">
      <c r="A805" s="36"/>
      <c r="N805" s="69"/>
      <c r="O805" s="69"/>
      <c r="S805" s="70"/>
      <c r="T805" s="70"/>
      <c r="U805" s="70"/>
      <c r="V805" s="70"/>
      <c r="W805" s="70"/>
      <c r="X805" s="70"/>
      <c r="Y805" s="70"/>
    </row>
    <row r="806" spans="1:25" x14ac:dyDescent="0.25">
      <c r="A806" s="36"/>
      <c r="N806" s="69"/>
      <c r="O806" s="69"/>
      <c r="S806" s="70"/>
      <c r="T806" s="70"/>
      <c r="U806" s="70"/>
      <c r="V806" s="70"/>
      <c r="W806" s="70"/>
      <c r="X806" s="70"/>
      <c r="Y806" s="70"/>
    </row>
    <row r="807" spans="1:25" x14ac:dyDescent="0.25">
      <c r="A807" s="36"/>
      <c r="N807" s="69"/>
      <c r="O807" s="69"/>
      <c r="S807" s="70"/>
      <c r="T807" s="70"/>
      <c r="U807" s="70"/>
      <c r="V807" s="70"/>
      <c r="W807" s="70"/>
      <c r="X807" s="70"/>
      <c r="Y807" s="70"/>
    </row>
    <row r="808" spans="1:25" x14ac:dyDescent="0.25">
      <c r="A808" s="36"/>
      <c r="N808" s="69"/>
      <c r="O808" s="69"/>
      <c r="S808" s="70"/>
      <c r="T808" s="70"/>
      <c r="U808" s="70"/>
      <c r="V808" s="70"/>
      <c r="W808" s="70"/>
      <c r="X808" s="70"/>
      <c r="Y808" s="70"/>
    </row>
    <row r="809" spans="1:25" x14ac:dyDescent="0.25">
      <c r="A809" s="36"/>
      <c r="N809" s="69"/>
      <c r="O809" s="69"/>
      <c r="S809" s="70"/>
      <c r="T809" s="70"/>
      <c r="U809" s="70"/>
      <c r="V809" s="70"/>
      <c r="W809" s="70"/>
      <c r="X809" s="70"/>
      <c r="Y809" s="70"/>
    </row>
    <row r="810" spans="1:25" x14ac:dyDescent="0.25">
      <c r="A810" s="36"/>
      <c r="N810" s="69"/>
      <c r="O810" s="69"/>
      <c r="S810" s="70"/>
      <c r="T810" s="70"/>
      <c r="U810" s="70"/>
      <c r="V810" s="70"/>
      <c r="W810" s="70"/>
      <c r="X810" s="70"/>
      <c r="Y810" s="70"/>
    </row>
    <row r="811" spans="1:25" x14ac:dyDescent="0.25">
      <c r="A811" s="36"/>
      <c r="N811" s="69"/>
      <c r="O811" s="69"/>
      <c r="S811" s="70"/>
      <c r="T811" s="70"/>
      <c r="U811" s="70"/>
      <c r="V811" s="70"/>
      <c r="W811" s="70"/>
      <c r="X811" s="70"/>
      <c r="Y811" s="70"/>
    </row>
    <row r="812" spans="1:25" x14ac:dyDescent="0.25">
      <c r="A812" s="36"/>
      <c r="N812" s="69"/>
      <c r="O812" s="69"/>
      <c r="S812" s="70"/>
      <c r="T812" s="70"/>
      <c r="U812" s="70"/>
      <c r="V812" s="70"/>
      <c r="W812" s="70"/>
      <c r="X812" s="70"/>
      <c r="Y812" s="70"/>
    </row>
    <row r="813" spans="1:25" x14ac:dyDescent="0.25">
      <c r="A813" s="36"/>
      <c r="N813" s="69"/>
      <c r="O813" s="69"/>
      <c r="S813" s="70"/>
      <c r="T813" s="70"/>
      <c r="U813" s="70"/>
      <c r="V813" s="70"/>
      <c r="W813" s="70"/>
      <c r="X813" s="70"/>
      <c r="Y813" s="70"/>
    </row>
    <row r="814" spans="1:25" x14ac:dyDescent="0.25">
      <c r="A814" s="36"/>
      <c r="N814" s="69"/>
      <c r="O814" s="69"/>
      <c r="S814" s="70"/>
      <c r="T814" s="70"/>
      <c r="U814" s="70"/>
      <c r="V814" s="70"/>
      <c r="W814" s="70"/>
      <c r="X814" s="70"/>
      <c r="Y814" s="70"/>
    </row>
    <row r="815" spans="1:25" x14ac:dyDescent="0.25">
      <c r="A815" s="36"/>
      <c r="N815" s="69"/>
      <c r="O815" s="69"/>
      <c r="S815" s="70"/>
      <c r="T815" s="70"/>
      <c r="U815" s="70"/>
      <c r="V815" s="70"/>
      <c r="W815" s="70"/>
      <c r="X815" s="70"/>
      <c r="Y815" s="70"/>
    </row>
    <row r="816" spans="1:25" x14ac:dyDescent="0.25">
      <c r="A816" s="36"/>
      <c r="N816" s="69"/>
      <c r="O816" s="69"/>
      <c r="S816" s="70"/>
      <c r="T816" s="70"/>
      <c r="U816" s="70"/>
      <c r="V816" s="70"/>
      <c r="W816" s="70"/>
      <c r="X816" s="70"/>
      <c r="Y816" s="70"/>
    </row>
    <row r="817" spans="1:25" x14ac:dyDescent="0.25">
      <c r="A817" s="36"/>
      <c r="N817" s="69"/>
      <c r="O817" s="69"/>
      <c r="S817" s="70"/>
      <c r="T817" s="70"/>
      <c r="U817" s="70"/>
      <c r="V817" s="70"/>
      <c r="W817" s="70"/>
      <c r="X817" s="70"/>
      <c r="Y817" s="70"/>
    </row>
    <row r="818" spans="1:25" x14ac:dyDescent="0.25">
      <c r="A818" s="36"/>
      <c r="N818" s="69"/>
      <c r="O818" s="69"/>
      <c r="S818" s="70"/>
      <c r="T818" s="70"/>
      <c r="U818" s="70"/>
      <c r="V818" s="70"/>
      <c r="W818" s="70"/>
      <c r="X818" s="70"/>
      <c r="Y818" s="70"/>
    </row>
    <row r="819" spans="1:25" x14ac:dyDescent="0.25">
      <c r="A819" s="36"/>
      <c r="N819" s="69"/>
      <c r="O819" s="69"/>
      <c r="S819" s="70"/>
      <c r="T819" s="70"/>
      <c r="U819" s="70"/>
      <c r="V819" s="70"/>
      <c r="W819" s="70"/>
      <c r="X819" s="70"/>
      <c r="Y819" s="70"/>
    </row>
    <row r="820" spans="1:25" x14ac:dyDescent="0.25">
      <c r="A820" s="36"/>
      <c r="N820" s="69"/>
      <c r="O820" s="69"/>
      <c r="S820" s="70"/>
      <c r="T820" s="70"/>
      <c r="U820" s="70"/>
      <c r="V820" s="70"/>
      <c r="W820" s="70"/>
      <c r="X820" s="70"/>
      <c r="Y820" s="70"/>
    </row>
    <row r="821" spans="1:25" x14ac:dyDescent="0.25">
      <c r="A821" s="36"/>
      <c r="N821" s="69"/>
      <c r="O821" s="69"/>
      <c r="S821" s="70"/>
      <c r="T821" s="70"/>
      <c r="U821" s="70"/>
      <c r="V821" s="70"/>
      <c r="W821" s="70"/>
      <c r="X821" s="70"/>
      <c r="Y821" s="70"/>
    </row>
    <row r="822" spans="1:25" x14ac:dyDescent="0.25">
      <c r="A822" s="36"/>
      <c r="N822" s="69"/>
      <c r="O822" s="69"/>
      <c r="S822" s="70"/>
      <c r="T822" s="70"/>
      <c r="U822" s="70"/>
      <c r="V822" s="70"/>
      <c r="W822" s="70"/>
      <c r="X822" s="70"/>
      <c r="Y822" s="70"/>
    </row>
    <row r="823" spans="1:25" x14ac:dyDescent="0.25">
      <c r="A823" s="36"/>
      <c r="N823" s="69"/>
      <c r="O823" s="69"/>
      <c r="S823" s="70"/>
      <c r="T823" s="70"/>
      <c r="U823" s="70"/>
      <c r="V823" s="70"/>
      <c r="W823" s="70"/>
      <c r="X823" s="70"/>
      <c r="Y823" s="70"/>
    </row>
    <row r="824" spans="1:25" x14ac:dyDescent="0.25">
      <c r="A824" s="36"/>
      <c r="N824" s="69"/>
      <c r="O824" s="69"/>
      <c r="S824" s="70"/>
      <c r="T824" s="70"/>
      <c r="U824" s="70"/>
      <c r="V824" s="70"/>
      <c r="W824" s="70"/>
      <c r="X824" s="70"/>
      <c r="Y824" s="70"/>
    </row>
    <row r="825" spans="1:25" x14ac:dyDescent="0.25">
      <c r="A825" s="36"/>
      <c r="N825" s="69"/>
      <c r="O825" s="69"/>
      <c r="S825" s="70"/>
      <c r="T825" s="70"/>
      <c r="U825" s="70"/>
      <c r="V825" s="70"/>
      <c r="W825" s="70"/>
      <c r="X825" s="70"/>
      <c r="Y825" s="70"/>
    </row>
    <row r="826" spans="1:25" x14ac:dyDescent="0.25">
      <c r="A826" s="36"/>
      <c r="N826" s="69"/>
      <c r="O826" s="69"/>
      <c r="S826" s="70"/>
      <c r="T826" s="70"/>
      <c r="U826" s="70"/>
      <c r="V826" s="70"/>
      <c r="W826" s="70"/>
      <c r="X826" s="70"/>
      <c r="Y826" s="70"/>
    </row>
    <row r="827" spans="1:25" x14ac:dyDescent="0.25">
      <c r="A827" s="36"/>
      <c r="N827" s="69"/>
      <c r="O827" s="69"/>
      <c r="S827" s="70"/>
      <c r="T827" s="70"/>
      <c r="U827" s="70"/>
      <c r="V827" s="70"/>
      <c r="W827" s="70"/>
      <c r="X827" s="70"/>
      <c r="Y827" s="70"/>
    </row>
    <row r="828" spans="1:25" x14ac:dyDescent="0.25">
      <c r="A828" s="36"/>
      <c r="N828" s="69"/>
      <c r="O828" s="69"/>
      <c r="S828" s="70"/>
      <c r="T828" s="70"/>
      <c r="U828" s="70"/>
      <c r="V828" s="70"/>
      <c r="W828" s="70"/>
      <c r="X828" s="70"/>
      <c r="Y828" s="70"/>
    </row>
    <row r="829" spans="1:25" x14ac:dyDescent="0.25">
      <c r="A829" s="36"/>
      <c r="N829" s="69"/>
      <c r="O829" s="69"/>
      <c r="S829" s="70"/>
      <c r="T829" s="70"/>
      <c r="U829" s="70"/>
      <c r="V829" s="70"/>
      <c r="W829" s="70"/>
      <c r="X829" s="70"/>
      <c r="Y829" s="70"/>
    </row>
    <row r="830" spans="1:25" x14ac:dyDescent="0.25">
      <c r="A830" s="36"/>
      <c r="N830" s="69"/>
      <c r="O830" s="69"/>
      <c r="S830" s="70"/>
      <c r="T830" s="70"/>
      <c r="U830" s="70"/>
      <c r="V830" s="70"/>
      <c r="W830" s="70"/>
      <c r="X830" s="70"/>
      <c r="Y830" s="70"/>
    </row>
    <row r="831" spans="1:25" x14ac:dyDescent="0.25">
      <c r="A831" s="36"/>
      <c r="N831" s="69"/>
      <c r="O831" s="69"/>
      <c r="S831" s="70"/>
      <c r="T831" s="70"/>
      <c r="U831" s="70"/>
      <c r="V831" s="70"/>
      <c r="W831" s="70"/>
      <c r="X831" s="70"/>
      <c r="Y831" s="70"/>
    </row>
    <row r="832" spans="1:25" x14ac:dyDescent="0.25">
      <c r="A832" s="36"/>
      <c r="N832" s="69"/>
      <c r="O832" s="69"/>
      <c r="S832" s="70"/>
      <c r="T832" s="70"/>
      <c r="U832" s="70"/>
      <c r="V832" s="70"/>
      <c r="W832" s="70"/>
      <c r="X832" s="70"/>
      <c r="Y832" s="70"/>
    </row>
    <row r="833" spans="1:25" x14ac:dyDescent="0.25">
      <c r="A833" s="36"/>
      <c r="N833" s="69"/>
      <c r="O833" s="69"/>
      <c r="X833" s="70"/>
      <c r="Y833" s="70"/>
    </row>
    <row r="834" spans="1:25" x14ac:dyDescent="0.25">
      <c r="A834" s="36"/>
      <c r="N834" s="69"/>
      <c r="O834" s="69"/>
      <c r="X834" s="70"/>
      <c r="Y834" s="70"/>
    </row>
    <row r="835" spans="1:25" x14ac:dyDescent="0.25">
      <c r="A835" s="36"/>
      <c r="N835" s="69"/>
      <c r="O835" s="69"/>
      <c r="X835" s="70"/>
      <c r="Y835" s="70"/>
    </row>
    <row r="836" spans="1:25" x14ac:dyDescent="0.25">
      <c r="A836" s="36"/>
      <c r="N836" s="69"/>
      <c r="O836" s="69"/>
      <c r="X836" s="70"/>
      <c r="Y836" s="70"/>
    </row>
    <row r="837" spans="1:25" x14ac:dyDescent="0.25">
      <c r="A837" s="36"/>
      <c r="N837" s="69"/>
      <c r="O837" s="69"/>
      <c r="X837" s="70"/>
      <c r="Y837" s="70"/>
    </row>
    <row r="838" spans="1:25" x14ac:dyDescent="0.25">
      <c r="A838" s="36"/>
      <c r="N838" s="69"/>
      <c r="O838" s="69"/>
      <c r="X838" s="70"/>
      <c r="Y838" s="70"/>
    </row>
    <row r="839" spans="1:25" x14ac:dyDescent="0.25">
      <c r="A839" s="36"/>
      <c r="N839" s="69"/>
      <c r="O839" s="69"/>
      <c r="X839" s="70"/>
      <c r="Y839" s="70"/>
    </row>
    <row r="840" spans="1:25" x14ac:dyDescent="0.25">
      <c r="A840" s="36"/>
      <c r="N840" s="69"/>
      <c r="O840" s="69"/>
      <c r="X840" s="70"/>
      <c r="Y840" s="70"/>
    </row>
    <row r="841" spans="1:25" x14ac:dyDescent="0.25">
      <c r="A841" s="36"/>
      <c r="N841" s="69"/>
      <c r="O841" s="69"/>
      <c r="X841" s="70"/>
      <c r="Y841" s="70"/>
    </row>
    <row r="842" spans="1:25" x14ac:dyDescent="0.25">
      <c r="A842" s="36"/>
      <c r="N842" s="69"/>
      <c r="O842" s="69"/>
      <c r="X842" s="70"/>
      <c r="Y842" s="70"/>
    </row>
    <row r="843" spans="1:25" x14ac:dyDescent="0.25">
      <c r="A843" s="36"/>
      <c r="N843" s="69"/>
      <c r="O843" s="69"/>
      <c r="X843" s="70"/>
      <c r="Y843" s="70"/>
    </row>
    <row r="844" spans="1:25" x14ac:dyDescent="0.25">
      <c r="A844" s="36"/>
      <c r="N844" s="69"/>
      <c r="O844" s="69"/>
      <c r="X844" s="70"/>
      <c r="Y844" s="70"/>
    </row>
    <row r="845" spans="1:25" x14ac:dyDescent="0.25">
      <c r="A845" s="36"/>
      <c r="N845" s="69"/>
      <c r="O845" s="69"/>
      <c r="X845" s="70"/>
      <c r="Y845" s="70"/>
    </row>
    <row r="846" spans="1:25" x14ac:dyDescent="0.25">
      <c r="A846" s="36"/>
      <c r="N846" s="69"/>
      <c r="O846" s="69"/>
      <c r="X846" s="70"/>
      <c r="Y846" s="70"/>
    </row>
    <row r="847" spans="1:25" x14ac:dyDescent="0.25">
      <c r="A847" s="36"/>
      <c r="N847" s="69"/>
      <c r="O847" s="69"/>
      <c r="X847" s="70"/>
      <c r="Y847" s="70"/>
    </row>
    <row r="848" spans="1:25" x14ac:dyDescent="0.25">
      <c r="A848" s="36"/>
      <c r="N848" s="69"/>
      <c r="O848" s="69"/>
      <c r="X848" s="70"/>
      <c r="Y848" s="70"/>
    </row>
    <row r="849" spans="1:25" x14ac:dyDescent="0.25">
      <c r="A849" s="36"/>
      <c r="N849" s="69"/>
      <c r="O849" s="69"/>
      <c r="X849" s="70"/>
      <c r="Y849" s="70"/>
    </row>
    <row r="850" spans="1:25" x14ac:dyDescent="0.25">
      <c r="A850" s="36"/>
      <c r="N850" s="69"/>
      <c r="O850" s="69"/>
      <c r="X850" s="70"/>
      <c r="Y850" s="70"/>
    </row>
    <row r="851" spans="1:25" x14ac:dyDescent="0.25">
      <c r="A851" s="36"/>
      <c r="N851" s="69"/>
      <c r="O851" s="69"/>
      <c r="X851" s="70"/>
      <c r="Y851" s="70"/>
    </row>
    <row r="852" spans="1:25" x14ac:dyDescent="0.25">
      <c r="A852" s="36"/>
      <c r="N852" s="69"/>
      <c r="O852" s="69"/>
      <c r="X852" s="70"/>
      <c r="Y852" s="70"/>
    </row>
    <row r="853" spans="1:25" x14ac:dyDescent="0.25">
      <c r="A853" s="36"/>
      <c r="N853" s="69"/>
      <c r="O853" s="69"/>
      <c r="X853" s="70"/>
      <c r="Y853" s="70"/>
    </row>
    <row r="854" spans="1:25" x14ac:dyDescent="0.25">
      <c r="A854" s="36"/>
      <c r="N854" s="69"/>
      <c r="O854" s="69"/>
      <c r="X854" s="70"/>
      <c r="Y854" s="70"/>
    </row>
    <row r="855" spans="1:25" x14ac:dyDescent="0.25">
      <c r="A855" s="36"/>
      <c r="N855" s="69"/>
      <c r="O855" s="69"/>
      <c r="X855" s="70"/>
      <c r="Y855" s="70"/>
    </row>
    <row r="856" spans="1:25" x14ac:dyDescent="0.25">
      <c r="A856" s="36"/>
      <c r="N856" s="69"/>
      <c r="O856" s="69"/>
      <c r="X856" s="70"/>
      <c r="Y856" s="70"/>
    </row>
    <row r="857" spans="1:25" x14ac:dyDescent="0.25">
      <c r="A857" s="36"/>
      <c r="N857" s="69"/>
      <c r="O857" s="69"/>
      <c r="X857" s="70"/>
      <c r="Y857" s="70"/>
    </row>
    <row r="858" spans="1:25" x14ac:dyDescent="0.25">
      <c r="A858" s="36"/>
      <c r="N858" s="69"/>
      <c r="O858" s="69"/>
      <c r="X858" s="70"/>
      <c r="Y858" s="70"/>
    </row>
    <row r="859" spans="1:25" x14ac:dyDescent="0.25">
      <c r="A859" s="36"/>
      <c r="N859" s="69"/>
      <c r="O859" s="69"/>
      <c r="X859" s="70"/>
      <c r="Y859" s="70"/>
    </row>
    <row r="860" spans="1:25" x14ac:dyDescent="0.25">
      <c r="A860" s="36"/>
      <c r="N860" s="69"/>
      <c r="O860" s="69"/>
      <c r="X860" s="70"/>
      <c r="Y860" s="70"/>
    </row>
    <row r="861" spans="1:25" x14ac:dyDescent="0.25">
      <c r="A861" s="36"/>
      <c r="N861" s="69"/>
      <c r="O861" s="69"/>
      <c r="X861" s="70"/>
      <c r="Y861" s="70"/>
    </row>
    <row r="862" spans="1:25" x14ac:dyDescent="0.25">
      <c r="A862" s="36"/>
      <c r="N862" s="69"/>
      <c r="O862" s="69"/>
      <c r="X862" s="70"/>
      <c r="Y862" s="70"/>
    </row>
    <row r="863" spans="1:25" x14ac:dyDescent="0.25">
      <c r="A863" s="36"/>
      <c r="N863" s="69"/>
      <c r="O863" s="69"/>
      <c r="X863" s="70"/>
      <c r="Y863" s="70"/>
    </row>
    <row r="864" spans="1:25" x14ac:dyDescent="0.25">
      <c r="A864" s="36"/>
      <c r="N864" s="69"/>
      <c r="O864" s="69"/>
      <c r="X864" s="70"/>
      <c r="Y864" s="70"/>
    </row>
    <row r="865" spans="1:25" x14ac:dyDescent="0.25">
      <c r="A865" s="36"/>
      <c r="N865" s="69"/>
      <c r="O865" s="69"/>
      <c r="X865" s="70"/>
      <c r="Y865" s="70"/>
    </row>
    <row r="866" spans="1:25" x14ac:dyDescent="0.25">
      <c r="A866" s="36"/>
      <c r="N866" s="69"/>
      <c r="O866" s="69"/>
      <c r="X866" s="70"/>
      <c r="Y866" s="70"/>
    </row>
    <row r="867" spans="1:25" x14ac:dyDescent="0.25">
      <c r="A867" s="36"/>
      <c r="N867" s="69"/>
      <c r="O867" s="69"/>
      <c r="X867" s="70"/>
      <c r="Y867" s="70"/>
    </row>
    <row r="868" spans="1:25" x14ac:dyDescent="0.25">
      <c r="A868" s="36"/>
      <c r="N868" s="69"/>
      <c r="O868" s="69"/>
      <c r="X868" s="70"/>
      <c r="Y868" s="70"/>
    </row>
    <row r="869" spans="1:25" x14ac:dyDescent="0.25">
      <c r="A869" s="36"/>
      <c r="N869" s="69"/>
      <c r="O869" s="69"/>
      <c r="X869" s="70"/>
      <c r="Y869" s="70"/>
    </row>
    <row r="870" spans="1:25" x14ac:dyDescent="0.25">
      <c r="A870" s="36"/>
      <c r="N870" s="69"/>
      <c r="O870" s="69"/>
      <c r="X870" s="70"/>
      <c r="Y870" s="70"/>
    </row>
    <row r="871" spans="1:25" x14ac:dyDescent="0.25">
      <c r="A871" s="36"/>
      <c r="N871" s="69"/>
      <c r="O871" s="69"/>
      <c r="X871" s="70"/>
      <c r="Y871" s="70"/>
    </row>
    <row r="872" spans="1:25" x14ac:dyDescent="0.25">
      <c r="A872" s="36"/>
      <c r="N872" s="69"/>
      <c r="O872" s="69"/>
      <c r="X872" s="70"/>
      <c r="Y872" s="70"/>
    </row>
    <row r="873" spans="1:25" x14ac:dyDescent="0.25">
      <c r="A873" s="36"/>
      <c r="N873" s="69"/>
      <c r="O873" s="69"/>
      <c r="X873" s="70"/>
      <c r="Y873" s="70"/>
    </row>
    <row r="874" spans="1:25" x14ac:dyDescent="0.25">
      <c r="A874" s="36"/>
      <c r="N874" s="69"/>
      <c r="O874" s="69"/>
      <c r="X874" s="70"/>
      <c r="Y874" s="70"/>
    </row>
    <row r="875" spans="1:25" x14ac:dyDescent="0.25">
      <c r="A875" s="36"/>
      <c r="N875" s="69"/>
      <c r="O875" s="69"/>
      <c r="X875" s="70"/>
      <c r="Y875" s="70"/>
    </row>
    <row r="876" spans="1:25" x14ac:dyDescent="0.25">
      <c r="A876" s="36"/>
      <c r="N876" s="69"/>
      <c r="O876" s="69"/>
      <c r="X876" s="70"/>
      <c r="Y876" s="70"/>
    </row>
    <row r="877" spans="1:25" x14ac:dyDescent="0.25">
      <c r="A877" s="36"/>
      <c r="N877" s="69"/>
      <c r="O877" s="69"/>
      <c r="X877" s="70"/>
      <c r="Y877" s="70"/>
    </row>
    <row r="878" spans="1:25" x14ac:dyDescent="0.25">
      <c r="A878" s="36"/>
      <c r="N878" s="69"/>
      <c r="O878" s="69"/>
      <c r="X878" s="70"/>
      <c r="Y878" s="70"/>
    </row>
    <row r="879" spans="1:25" x14ac:dyDescent="0.25">
      <c r="A879" s="36"/>
      <c r="N879" s="69"/>
      <c r="O879" s="69"/>
      <c r="X879" s="70"/>
      <c r="Y879" s="70"/>
    </row>
    <row r="880" spans="1:25" x14ac:dyDescent="0.25">
      <c r="A880" s="36"/>
      <c r="N880" s="69"/>
      <c r="O880" s="69"/>
      <c r="X880" s="70"/>
      <c r="Y880" s="70"/>
    </row>
    <row r="881" spans="1:25" x14ac:dyDescent="0.25">
      <c r="A881" s="36"/>
      <c r="N881" s="69"/>
      <c r="O881" s="69"/>
      <c r="X881" s="70"/>
      <c r="Y881" s="70"/>
    </row>
    <row r="882" spans="1:25" x14ac:dyDescent="0.25">
      <c r="A882" s="36"/>
      <c r="N882" s="69"/>
      <c r="O882" s="69"/>
      <c r="X882" s="70"/>
      <c r="Y882" s="70"/>
    </row>
    <row r="883" spans="1:25" x14ac:dyDescent="0.25">
      <c r="A883" s="36"/>
      <c r="N883" s="69"/>
      <c r="O883" s="69"/>
      <c r="X883" s="70"/>
      <c r="Y883" s="70"/>
    </row>
    <row r="884" spans="1:25" x14ac:dyDescent="0.25">
      <c r="A884" s="36"/>
      <c r="N884" s="69"/>
      <c r="O884" s="69"/>
      <c r="X884" s="70"/>
      <c r="Y884" s="70"/>
    </row>
    <row r="885" spans="1:25" x14ac:dyDescent="0.25">
      <c r="A885" s="36"/>
      <c r="N885" s="69"/>
      <c r="O885" s="69"/>
      <c r="X885" s="70"/>
      <c r="Y885" s="70"/>
    </row>
    <row r="886" spans="1:25" x14ac:dyDescent="0.25">
      <c r="A886" s="36"/>
      <c r="N886" s="69"/>
      <c r="O886" s="69"/>
      <c r="X886" s="70"/>
      <c r="Y886" s="70"/>
    </row>
    <row r="887" spans="1:25" x14ac:dyDescent="0.25">
      <c r="A887" s="36"/>
      <c r="N887" s="69"/>
      <c r="O887" s="69"/>
      <c r="X887" s="70"/>
      <c r="Y887" s="70"/>
    </row>
    <row r="888" spans="1:25" x14ac:dyDescent="0.25">
      <c r="A888" s="36"/>
      <c r="N888" s="69"/>
      <c r="O888" s="69"/>
      <c r="X888" s="70"/>
      <c r="Y888" s="70"/>
    </row>
    <row r="889" spans="1:25" x14ac:dyDescent="0.25">
      <c r="A889" s="36"/>
      <c r="N889" s="69"/>
      <c r="O889" s="69"/>
      <c r="X889" s="70"/>
      <c r="Y889" s="70"/>
    </row>
    <row r="890" spans="1:25" x14ac:dyDescent="0.25">
      <c r="A890" s="36"/>
      <c r="N890" s="69"/>
      <c r="O890" s="69"/>
      <c r="X890" s="70"/>
      <c r="Y890" s="70"/>
    </row>
    <row r="891" spans="1:25" x14ac:dyDescent="0.25">
      <c r="A891" s="36"/>
      <c r="N891" s="69"/>
      <c r="O891" s="69"/>
      <c r="X891" s="70"/>
      <c r="Y891" s="70"/>
    </row>
    <row r="892" spans="1:25" x14ac:dyDescent="0.25">
      <c r="A892" s="36"/>
      <c r="N892" s="69"/>
      <c r="O892" s="69"/>
      <c r="X892" s="70"/>
      <c r="Y892" s="70"/>
    </row>
    <row r="893" spans="1:25" x14ac:dyDescent="0.25">
      <c r="A893" s="36"/>
      <c r="N893" s="69"/>
      <c r="O893" s="69"/>
      <c r="X893" s="70"/>
      <c r="Y893" s="70"/>
    </row>
    <row r="894" spans="1:25" x14ac:dyDescent="0.25">
      <c r="A894" s="36"/>
      <c r="N894" s="69"/>
      <c r="O894" s="69"/>
      <c r="X894" s="70"/>
      <c r="Y894" s="70"/>
    </row>
    <row r="895" spans="1:25" x14ac:dyDescent="0.25">
      <c r="A895" s="36"/>
      <c r="N895" s="69"/>
      <c r="O895" s="69"/>
      <c r="X895" s="70"/>
      <c r="Y895" s="70"/>
    </row>
    <row r="896" spans="1:25" x14ac:dyDescent="0.25">
      <c r="A896" s="36"/>
      <c r="N896" s="69"/>
      <c r="O896" s="69"/>
      <c r="X896" s="70"/>
      <c r="Y896" s="70"/>
    </row>
    <row r="897" spans="1:25" x14ac:dyDescent="0.25">
      <c r="A897" s="36"/>
      <c r="N897" s="69"/>
      <c r="O897" s="69"/>
      <c r="X897" s="70"/>
      <c r="Y897" s="70"/>
    </row>
    <row r="898" spans="1:25" x14ac:dyDescent="0.25">
      <c r="A898" s="36"/>
      <c r="N898" s="69"/>
      <c r="O898" s="69"/>
      <c r="X898" s="70"/>
      <c r="Y898" s="70"/>
    </row>
    <row r="899" spans="1:25" x14ac:dyDescent="0.25">
      <c r="A899" s="36"/>
      <c r="N899" s="69"/>
      <c r="O899" s="69"/>
      <c r="X899" s="70"/>
      <c r="Y899" s="70"/>
    </row>
    <row r="900" spans="1:25" x14ac:dyDescent="0.25">
      <c r="A900" s="36"/>
      <c r="N900" s="69"/>
      <c r="O900" s="69"/>
      <c r="X900" s="70"/>
      <c r="Y900" s="70"/>
    </row>
    <row r="901" spans="1:25" x14ac:dyDescent="0.25">
      <c r="A901" s="36"/>
      <c r="N901" s="69"/>
      <c r="O901" s="69"/>
      <c r="X901" s="70"/>
      <c r="Y901" s="70"/>
    </row>
    <row r="902" spans="1:25" x14ac:dyDescent="0.25">
      <c r="A902" s="36"/>
      <c r="N902" s="69"/>
      <c r="O902" s="69"/>
      <c r="X902" s="70"/>
      <c r="Y902" s="70"/>
    </row>
    <row r="903" spans="1:25" x14ac:dyDescent="0.25">
      <c r="A903" s="36"/>
      <c r="N903" s="69"/>
      <c r="O903" s="69"/>
      <c r="X903" s="70"/>
      <c r="Y903" s="70"/>
    </row>
    <row r="904" spans="1:25" x14ac:dyDescent="0.25">
      <c r="A904" s="36"/>
      <c r="N904" s="69"/>
      <c r="O904" s="69"/>
      <c r="X904" s="70"/>
      <c r="Y904" s="70"/>
    </row>
    <row r="905" spans="1:25" x14ac:dyDescent="0.25">
      <c r="A905" s="36"/>
      <c r="N905" s="69"/>
      <c r="O905" s="69"/>
      <c r="X905" s="70"/>
      <c r="Y905" s="70"/>
    </row>
    <row r="906" spans="1:25" x14ac:dyDescent="0.25">
      <c r="A906" s="36"/>
      <c r="N906" s="69"/>
      <c r="O906" s="69"/>
      <c r="X906" s="70"/>
      <c r="Y906" s="70"/>
    </row>
    <row r="907" spans="1:25" x14ac:dyDescent="0.25">
      <c r="A907" s="36"/>
      <c r="N907" s="69"/>
      <c r="O907" s="69"/>
      <c r="X907" s="70"/>
      <c r="Y907" s="70"/>
    </row>
    <row r="908" spans="1:25" x14ac:dyDescent="0.25">
      <c r="A908" s="36"/>
      <c r="N908" s="69"/>
      <c r="O908" s="69"/>
      <c r="X908" s="70"/>
      <c r="Y908" s="70"/>
    </row>
    <row r="909" spans="1:25" x14ac:dyDescent="0.25">
      <c r="A909" s="36"/>
      <c r="N909" s="69"/>
      <c r="O909" s="69"/>
      <c r="X909" s="70"/>
      <c r="Y909" s="70"/>
    </row>
    <row r="910" spans="1:25" x14ac:dyDescent="0.25">
      <c r="A910" s="36"/>
      <c r="N910" s="69"/>
      <c r="O910" s="69"/>
      <c r="X910" s="70"/>
      <c r="Y910" s="70"/>
    </row>
    <row r="911" spans="1:25" x14ac:dyDescent="0.25">
      <c r="A911" s="36"/>
      <c r="N911" s="69"/>
      <c r="O911" s="69"/>
      <c r="X911" s="70"/>
      <c r="Y911" s="70"/>
    </row>
    <row r="912" spans="1:25" x14ac:dyDescent="0.25">
      <c r="A912" s="36"/>
      <c r="N912" s="69"/>
      <c r="O912" s="69"/>
      <c r="X912" s="70"/>
      <c r="Y912" s="70"/>
    </row>
    <row r="913" spans="1:25" x14ac:dyDescent="0.25">
      <c r="A913" s="36"/>
      <c r="N913" s="69"/>
      <c r="O913" s="69"/>
      <c r="X913" s="70"/>
      <c r="Y913" s="70"/>
    </row>
    <row r="914" spans="1:25" x14ac:dyDescent="0.25">
      <c r="A914" s="36"/>
      <c r="N914" s="69"/>
      <c r="O914" s="69"/>
      <c r="X914" s="70"/>
      <c r="Y914" s="70"/>
    </row>
    <row r="915" spans="1:25" x14ac:dyDescent="0.25">
      <c r="A915" s="36"/>
      <c r="N915" s="69"/>
      <c r="O915" s="69"/>
      <c r="X915" s="70"/>
      <c r="Y915" s="70"/>
    </row>
    <row r="916" spans="1:25" x14ac:dyDescent="0.25">
      <c r="A916" s="36"/>
      <c r="N916" s="69"/>
      <c r="O916" s="69"/>
      <c r="X916" s="70"/>
      <c r="Y916" s="70"/>
    </row>
    <row r="917" spans="1:25" x14ac:dyDescent="0.25">
      <c r="A917" s="36"/>
      <c r="N917" s="69"/>
      <c r="O917" s="69"/>
      <c r="X917" s="70"/>
      <c r="Y917" s="70"/>
    </row>
    <row r="918" spans="1:25" x14ac:dyDescent="0.25">
      <c r="A918" s="36"/>
      <c r="N918" s="69"/>
      <c r="O918" s="69"/>
      <c r="X918" s="70"/>
      <c r="Y918" s="70"/>
    </row>
    <row r="919" spans="1:25" x14ac:dyDescent="0.25">
      <c r="A919" s="36"/>
      <c r="N919" s="69"/>
      <c r="O919" s="69"/>
      <c r="X919" s="70"/>
      <c r="Y919" s="70"/>
    </row>
    <row r="920" spans="1:25" x14ac:dyDescent="0.25">
      <c r="A920" s="36"/>
      <c r="N920" s="69"/>
      <c r="O920" s="69"/>
      <c r="X920" s="70"/>
      <c r="Y920" s="70"/>
    </row>
    <row r="921" spans="1:25" x14ac:dyDescent="0.25">
      <c r="A921" s="36"/>
      <c r="N921" s="69"/>
      <c r="O921" s="69"/>
      <c r="X921" s="70"/>
      <c r="Y921" s="70"/>
    </row>
    <row r="922" spans="1:25" x14ac:dyDescent="0.25">
      <c r="A922" s="36"/>
      <c r="N922" s="69"/>
      <c r="O922" s="69"/>
      <c r="X922" s="70"/>
      <c r="Y922" s="70"/>
    </row>
    <row r="923" spans="1:25" x14ac:dyDescent="0.25">
      <c r="A923" s="36"/>
      <c r="N923" s="69"/>
      <c r="O923" s="69"/>
      <c r="X923" s="70"/>
      <c r="Y923" s="70"/>
    </row>
    <row r="924" spans="1:25" x14ac:dyDescent="0.25">
      <c r="A924" s="36"/>
      <c r="N924" s="69"/>
      <c r="O924" s="69"/>
      <c r="X924" s="70"/>
      <c r="Y924" s="70"/>
    </row>
    <row r="925" spans="1:25" x14ac:dyDescent="0.25">
      <c r="A925" s="36"/>
      <c r="N925" s="69"/>
      <c r="O925" s="69"/>
      <c r="X925" s="70"/>
      <c r="Y925" s="70"/>
    </row>
    <row r="926" spans="1:25" x14ac:dyDescent="0.25">
      <c r="A926" s="36"/>
      <c r="N926" s="69"/>
      <c r="O926" s="69"/>
      <c r="X926" s="70"/>
      <c r="Y926" s="70"/>
    </row>
    <row r="927" spans="1:25" x14ac:dyDescent="0.25">
      <c r="A927" s="36"/>
      <c r="N927" s="69"/>
      <c r="O927" s="69"/>
      <c r="X927" s="70"/>
      <c r="Y927" s="70"/>
    </row>
    <row r="928" spans="1:25" x14ac:dyDescent="0.25">
      <c r="A928" s="36"/>
      <c r="N928" s="69"/>
      <c r="O928" s="69"/>
      <c r="X928" s="70"/>
      <c r="Y928" s="70"/>
    </row>
    <row r="929" spans="1:25" x14ac:dyDescent="0.25">
      <c r="A929" s="36"/>
      <c r="N929" s="69"/>
      <c r="O929" s="69"/>
      <c r="X929" s="70"/>
      <c r="Y929" s="70"/>
    </row>
    <row r="930" spans="1:25" x14ac:dyDescent="0.25">
      <c r="A930" s="36"/>
      <c r="N930" s="69"/>
      <c r="O930" s="69"/>
      <c r="X930" s="70"/>
      <c r="Y930" s="70"/>
    </row>
    <row r="931" spans="1:25" x14ac:dyDescent="0.25">
      <c r="A931" s="36"/>
      <c r="N931" s="69"/>
      <c r="O931" s="69"/>
      <c r="X931" s="70"/>
      <c r="Y931" s="70"/>
    </row>
    <row r="932" spans="1:25" x14ac:dyDescent="0.25">
      <c r="A932" s="36"/>
      <c r="N932" s="69"/>
      <c r="O932" s="69"/>
      <c r="X932" s="70"/>
      <c r="Y932" s="70"/>
    </row>
    <row r="933" spans="1:25" x14ac:dyDescent="0.25">
      <c r="A933" s="36"/>
      <c r="N933" s="69"/>
      <c r="O933" s="69"/>
      <c r="X933" s="70"/>
      <c r="Y933" s="70"/>
    </row>
    <row r="934" spans="1:25" x14ac:dyDescent="0.25">
      <c r="A934" s="36"/>
      <c r="N934" s="69"/>
      <c r="O934" s="69"/>
      <c r="X934" s="70"/>
      <c r="Y934" s="70"/>
    </row>
    <row r="935" spans="1:25" x14ac:dyDescent="0.25">
      <c r="A935" s="36"/>
      <c r="N935" s="69"/>
      <c r="O935" s="69"/>
      <c r="X935" s="70"/>
      <c r="Y935" s="70"/>
    </row>
    <row r="936" spans="1:25" x14ac:dyDescent="0.25">
      <c r="A936" s="36"/>
      <c r="N936" s="69"/>
      <c r="O936" s="69"/>
      <c r="X936" s="70"/>
      <c r="Y936" s="70"/>
    </row>
    <row r="937" spans="1:25" x14ac:dyDescent="0.25">
      <c r="A937" s="36"/>
      <c r="N937" s="69"/>
      <c r="O937" s="69"/>
      <c r="X937" s="70"/>
      <c r="Y937" s="70"/>
    </row>
    <row r="938" spans="1:25" x14ac:dyDescent="0.25">
      <c r="A938" s="36"/>
      <c r="N938" s="69"/>
      <c r="O938" s="69"/>
      <c r="X938" s="70"/>
      <c r="Y938" s="70"/>
    </row>
    <row r="939" spans="1:25" x14ac:dyDescent="0.25">
      <c r="A939" s="36"/>
      <c r="N939" s="69"/>
      <c r="O939" s="69"/>
      <c r="X939" s="70"/>
      <c r="Y939" s="70"/>
    </row>
    <row r="940" spans="1:25" x14ac:dyDescent="0.25">
      <c r="A940" s="36"/>
      <c r="N940" s="69"/>
      <c r="O940" s="69"/>
      <c r="X940" s="70"/>
      <c r="Y940" s="70"/>
    </row>
    <row r="941" spans="1:25" x14ac:dyDescent="0.25">
      <c r="A941" s="36"/>
      <c r="N941" s="69"/>
      <c r="O941" s="69"/>
      <c r="X941" s="70"/>
      <c r="Y941" s="70"/>
    </row>
    <row r="942" spans="1:25" x14ac:dyDescent="0.25">
      <c r="A942" s="36"/>
      <c r="N942" s="69"/>
      <c r="O942" s="69"/>
      <c r="X942" s="70"/>
      <c r="Y942" s="70"/>
    </row>
    <row r="943" spans="1:25" x14ac:dyDescent="0.25">
      <c r="A943" s="36"/>
      <c r="N943" s="69"/>
      <c r="O943" s="69"/>
      <c r="X943" s="70"/>
      <c r="Y943" s="70"/>
    </row>
    <row r="944" spans="1:25" x14ac:dyDescent="0.25">
      <c r="A944" s="36"/>
      <c r="N944" s="69"/>
      <c r="O944" s="69"/>
      <c r="X944" s="70"/>
      <c r="Y944" s="70"/>
    </row>
    <row r="945" spans="1:25" x14ac:dyDescent="0.25">
      <c r="A945" s="36"/>
      <c r="N945" s="69"/>
      <c r="O945" s="69"/>
      <c r="X945" s="70"/>
      <c r="Y945" s="70"/>
    </row>
    <row r="946" spans="1:25" x14ac:dyDescent="0.25">
      <c r="A946" s="36"/>
      <c r="N946" s="69"/>
      <c r="O946" s="69"/>
      <c r="X946" s="70"/>
      <c r="Y946" s="70"/>
    </row>
    <row r="947" spans="1:25" x14ac:dyDescent="0.25">
      <c r="A947" s="36"/>
      <c r="N947" s="69"/>
      <c r="O947" s="69"/>
      <c r="X947" s="70"/>
      <c r="Y947" s="70"/>
    </row>
    <row r="948" spans="1:25" x14ac:dyDescent="0.25">
      <c r="A948" s="36"/>
      <c r="N948" s="69"/>
      <c r="O948" s="69"/>
      <c r="X948" s="70"/>
      <c r="Y948" s="70"/>
    </row>
    <row r="949" spans="1:25" x14ac:dyDescent="0.25">
      <c r="A949" s="36"/>
      <c r="N949" s="69"/>
      <c r="O949" s="69"/>
      <c r="X949" s="70"/>
      <c r="Y949" s="70"/>
    </row>
    <row r="950" spans="1:25" x14ac:dyDescent="0.25">
      <c r="A950" s="36"/>
      <c r="N950" s="69"/>
      <c r="O950" s="69"/>
      <c r="X950" s="70"/>
      <c r="Y950" s="70"/>
    </row>
    <row r="951" spans="1:25" x14ac:dyDescent="0.25">
      <c r="A951" s="36"/>
      <c r="N951" s="69"/>
      <c r="O951" s="69"/>
      <c r="X951" s="70"/>
      <c r="Y951" s="70"/>
    </row>
    <row r="952" spans="1:25" x14ac:dyDescent="0.25">
      <c r="A952" s="36"/>
      <c r="N952" s="69"/>
      <c r="O952" s="69"/>
      <c r="X952" s="70"/>
      <c r="Y952" s="70"/>
    </row>
    <row r="953" spans="1:25" x14ac:dyDescent="0.25">
      <c r="A953" s="36"/>
      <c r="N953" s="69"/>
      <c r="O953" s="69"/>
      <c r="X953" s="70"/>
      <c r="Y953" s="70"/>
    </row>
    <row r="954" spans="1:25" x14ac:dyDescent="0.25">
      <c r="A954" s="36"/>
      <c r="N954" s="69"/>
      <c r="O954" s="69"/>
      <c r="X954" s="70"/>
      <c r="Y954" s="70"/>
    </row>
    <row r="955" spans="1:25" x14ac:dyDescent="0.25">
      <c r="A955" s="36"/>
      <c r="N955" s="69"/>
      <c r="O955" s="69"/>
      <c r="X955" s="70"/>
      <c r="Y955" s="70"/>
    </row>
    <row r="956" spans="1:25" x14ac:dyDescent="0.25">
      <c r="A956" s="36"/>
      <c r="N956" s="69"/>
      <c r="O956" s="69"/>
      <c r="X956" s="70"/>
      <c r="Y956" s="70"/>
    </row>
    <row r="957" spans="1:25" x14ac:dyDescent="0.25">
      <c r="A957" s="36"/>
      <c r="N957" s="69"/>
      <c r="O957" s="69"/>
      <c r="X957" s="70"/>
      <c r="Y957" s="70"/>
    </row>
    <row r="958" spans="1:25" x14ac:dyDescent="0.25">
      <c r="A958" s="36"/>
      <c r="N958" s="69"/>
      <c r="O958" s="69"/>
      <c r="X958" s="70"/>
      <c r="Y958" s="70"/>
    </row>
    <row r="959" spans="1:25" x14ac:dyDescent="0.25">
      <c r="A959" s="36"/>
      <c r="N959" s="69"/>
      <c r="O959" s="69"/>
      <c r="X959" s="70"/>
      <c r="Y959" s="70"/>
    </row>
    <row r="960" spans="1:25" x14ac:dyDescent="0.25">
      <c r="A960" s="36"/>
      <c r="N960" s="69"/>
      <c r="O960" s="69"/>
      <c r="X960" s="70"/>
      <c r="Y960" s="70"/>
    </row>
    <row r="961" spans="1:25" x14ac:dyDescent="0.25">
      <c r="A961" s="36"/>
      <c r="N961" s="69"/>
      <c r="O961" s="69"/>
      <c r="X961" s="70"/>
      <c r="Y961" s="70"/>
    </row>
    <row r="962" spans="1:25" x14ac:dyDescent="0.25">
      <c r="A962" s="36"/>
      <c r="N962" s="69"/>
      <c r="O962" s="69"/>
      <c r="X962" s="70"/>
      <c r="Y962" s="70"/>
    </row>
    <row r="963" spans="1:25" x14ac:dyDescent="0.25">
      <c r="A963" s="36"/>
      <c r="N963" s="69"/>
      <c r="O963" s="69"/>
      <c r="X963" s="70"/>
      <c r="Y963" s="70"/>
    </row>
    <row r="964" spans="1:25" x14ac:dyDescent="0.25">
      <c r="A964" s="36"/>
      <c r="N964" s="69"/>
      <c r="O964" s="69"/>
      <c r="X964" s="70"/>
      <c r="Y964" s="70"/>
    </row>
    <row r="965" spans="1:25" x14ac:dyDescent="0.25">
      <c r="A965" s="36"/>
      <c r="N965" s="69"/>
      <c r="O965" s="69"/>
      <c r="X965" s="70"/>
      <c r="Y965" s="70"/>
    </row>
    <row r="966" spans="1:25" x14ac:dyDescent="0.25">
      <c r="A966" s="36"/>
      <c r="N966" s="69"/>
      <c r="O966" s="69"/>
      <c r="X966" s="70"/>
      <c r="Y966" s="70"/>
    </row>
    <row r="967" spans="1:25" x14ac:dyDescent="0.25">
      <c r="A967" s="36"/>
      <c r="N967" s="69"/>
      <c r="O967" s="69"/>
      <c r="X967" s="70"/>
      <c r="Y967" s="70"/>
    </row>
    <row r="968" spans="1:25" x14ac:dyDescent="0.25">
      <c r="A968" s="36"/>
      <c r="N968" s="69"/>
      <c r="O968" s="69"/>
      <c r="X968" s="70"/>
      <c r="Y968" s="70"/>
    </row>
    <row r="969" spans="1:25" x14ac:dyDescent="0.25">
      <c r="A969" s="36"/>
      <c r="N969" s="69"/>
      <c r="O969" s="69"/>
      <c r="X969" s="70"/>
      <c r="Y969" s="70"/>
    </row>
    <row r="970" spans="1:25" x14ac:dyDescent="0.25">
      <c r="A970" s="36"/>
      <c r="N970" s="69"/>
      <c r="O970" s="69"/>
      <c r="X970" s="70"/>
      <c r="Y970" s="70"/>
    </row>
    <row r="971" spans="1:25" x14ac:dyDescent="0.25">
      <c r="A971" s="36"/>
      <c r="N971" s="69"/>
      <c r="O971" s="69"/>
      <c r="X971" s="70"/>
      <c r="Y971" s="70"/>
    </row>
    <row r="972" spans="1:25" x14ac:dyDescent="0.25">
      <c r="A972" s="36"/>
      <c r="N972" s="69"/>
      <c r="O972" s="69"/>
      <c r="X972" s="70"/>
      <c r="Y972" s="70"/>
    </row>
    <row r="973" spans="1:25" x14ac:dyDescent="0.25">
      <c r="A973" s="36"/>
      <c r="N973" s="69"/>
      <c r="O973" s="69"/>
      <c r="X973" s="70"/>
      <c r="Y973" s="70"/>
    </row>
    <row r="974" spans="1:25" x14ac:dyDescent="0.25">
      <c r="A974" s="36"/>
      <c r="N974" s="69"/>
      <c r="O974" s="69"/>
      <c r="X974" s="70"/>
      <c r="Y974" s="70"/>
    </row>
    <row r="975" spans="1:25" x14ac:dyDescent="0.25">
      <c r="A975" s="36"/>
      <c r="N975" s="69"/>
      <c r="O975" s="69"/>
      <c r="X975" s="70"/>
      <c r="Y975" s="70"/>
    </row>
    <row r="976" spans="1:25" x14ac:dyDescent="0.25">
      <c r="A976" s="36"/>
      <c r="N976" s="69"/>
      <c r="O976" s="69"/>
      <c r="X976" s="70"/>
      <c r="Y976" s="70"/>
    </row>
    <row r="977" spans="1:25" x14ac:dyDescent="0.25">
      <c r="A977" s="36"/>
      <c r="N977" s="69"/>
      <c r="O977" s="69"/>
      <c r="X977" s="70"/>
      <c r="Y977" s="70"/>
    </row>
    <row r="978" spans="1:25" x14ac:dyDescent="0.25">
      <c r="A978" s="36"/>
      <c r="N978" s="69"/>
      <c r="O978" s="69"/>
      <c r="X978" s="70"/>
      <c r="Y978" s="70"/>
    </row>
    <row r="979" spans="1:25" x14ac:dyDescent="0.25">
      <c r="A979" s="36"/>
      <c r="N979" s="69"/>
      <c r="O979" s="69"/>
      <c r="X979" s="70"/>
      <c r="Y979" s="70"/>
    </row>
    <row r="980" spans="1:25" x14ac:dyDescent="0.25">
      <c r="A980" s="36"/>
      <c r="N980" s="69"/>
      <c r="O980" s="69"/>
      <c r="X980" s="70"/>
      <c r="Y980" s="70"/>
    </row>
    <row r="981" spans="1:25" x14ac:dyDescent="0.25">
      <c r="A981" s="36"/>
      <c r="N981" s="69"/>
      <c r="O981" s="69"/>
      <c r="X981" s="70"/>
      <c r="Y981" s="70"/>
    </row>
    <row r="982" spans="1:25" x14ac:dyDescent="0.25">
      <c r="A982" s="36"/>
      <c r="N982" s="69"/>
      <c r="O982" s="69"/>
      <c r="X982" s="70"/>
      <c r="Y982" s="70"/>
    </row>
    <row r="983" spans="1:25" x14ac:dyDescent="0.25">
      <c r="A983" s="36"/>
      <c r="N983" s="69"/>
      <c r="O983" s="69"/>
      <c r="X983" s="70"/>
      <c r="Y983" s="70"/>
    </row>
    <row r="984" spans="1:25" x14ac:dyDescent="0.25">
      <c r="A984" s="36"/>
      <c r="N984" s="69"/>
      <c r="O984" s="69"/>
      <c r="X984" s="70"/>
      <c r="Y984" s="70"/>
    </row>
    <row r="985" spans="1:25" x14ac:dyDescent="0.25">
      <c r="A985" s="36"/>
      <c r="N985" s="69"/>
      <c r="O985" s="69"/>
      <c r="X985" s="70"/>
      <c r="Y985" s="70"/>
    </row>
    <row r="986" spans="1:25" x14ac:dyDescent="0.25">
      <c r="A986" s="36"/>
      <c r="N986" s="69"/>
      <c r="O986" s="69"/>
      <c r="X986" s="70"/>
      <c r="Y986" s="70"/>
    </row>
    <row r="987" spans="1:25" x14ac:dyDescent="0.25">
      <c r="A987" s="36"/>
      <c r="N987" s="69"/>
      <c r="O987" s="69"/>
      <c r="X987" s="70"/>
      <c r="Y987" s="70"/>
    </row>
    <row r="988" spans="1:25" x14ac:dyDescent="0.25">
      <c r="A988" s="36"/>
      <c r="N988" s="69"/>
      <c r="O988" s="69"/>
      <c r="X988" s="70"/>
      <c r="Y988" s="70"/>
    </row>
    <row r="989" spans="1:25" x14ac:dyDescent="0.25">
      <c r="A989" s="36"/>
      <c r="N989" s="69"/>
      <c r="O989" s="69"/>
      <c r="X989" s="70"/>
      <c r="Y989" s="70"/>
    </row>
    <row r="990" spans="1:25" x14ac:dyDescent="0.25">
      <c r="A990" s="36"/>
      <c r="N990" s="69"/>
      <c r="O990" s="69"/>
      <c r="X990" s="70"/>
      <c r="Y990" s="70"/>
    </row>
    <row r="991" spans="1:25" x14ac:dyDescent="0.25">
      <c r="A991" s="36"/>
      <c r="N991" s="69"/>
      <c r="O991" s="69"/>
      <c r="X991" s="70"/>
      <c r="Y991" s="70"/>
    </row>
    <row r="992" spans="1:25" x14ac:dyDescent="0.25">
      <c r="A992" s="36"/>
      <c r="N992" s="69"/>
      <c r="O992" s="69"/>
      <c r="X992" s="70"/>
      <c r="Y992" s="70"/>
    </row>
    <row r="993" spans="1:25" x14ac:dyDescent="0.25">
      <c r="A993" s="36"/>
      <c r="N993" s="69"/>
      <c r="O993" s="69"/>
      <c r="X993" s="70"/>
      <c r="Y993" s="70"/>
    </row>
    <row r="994" spans="1:25" x14ac:dyDescent="0.25">
      <c r="A994" s="36"/>
      <c r="N994" s="69"/>
      <c r="O994" s="69"/>
      <c r="X994" s="70"/>
      <c r="Y994" s="70"/>
    </row>
    <row r="995" spans="1:25" x14ac:dyDescent="0.25">
      <c r="A995" s="36"/>
      <c r="N995" s="69"/>
      <c r="O995" s="69"/>
      <c r="X995" s="70"/>
      <c r="Y995" s="70"/>
    </row>
    <row r="996" spans="1:25" x14ac:dyDescent="0.25">
      <c r="A996" s="36"/>
      <c r="N996" s="69"/>
      <c r="O996" s="69"/>
      <c r="X996" s="70"/>
      <c r="Y996" s="70"/>
    </row>
    <row r="997" spans="1:25" x14ac:dyDescent="0.25">
      <c r="A997" s="36"/>
      <c r="N997" s="69"/>
      <c r="O997" s="69"/>
      <c r="X997" s="70"/>
      <c r="Y997" s="70"/>
    </row>
    <row r="998" spans="1:25" x14ac:dyDescent="0.25">
      <c r="A998" s="36"/>
      <c r="N998" s="69"/>
      <c r="O998" s="69"/>
      <c r="X998" s="70"/>
      <c r="Y998" s="70"/>
    </row>
    <row r="999" spans="1:25" x14ac:dyDescent="0.25">
      <c r="A999" s="36"/>
      <c r="N999" s="69"/>
      <c r="O999" s="69"/>
      <c r="X999" s="70"/>
      <c r="Y999" s="70"/>
    </row>
    <row r="1000" spans="1:25" x14ac:dyDescent="0.25">
      <c r="A1000" s="36"/>
      <c r="N1000" s="69"/>
      <c r="O1000" s="69"/>
      <c r="X1000" s="70"/>
      <c r="Y1000" s="70"/>
    </row>
    <row r="1001" spans="1:25" x14ac:dyDescent="0.25">
      <c r="A1001" s="36"/>
      <c r="N1001" s="69"/>
      <c r="O1001" s="69"/>
      <c r="X1001" s="70"/>
      <c r="Y1001" s="70"/>
    </row>
    <row r="1002" spans="1:25" x14ac:dyDescent="0.25">
      <c r="A1002" s="36"/>
      <c r="N1002" s="69"/>
      <c r="O1002" s="69"/>
      <c r="X1002" s="70"/>
      <c r="Y1002" s="70"/>
    </row>
    <row r="1003" spans="1:25" x14ac:dyDescent="0.25">
      <c r="A1003" s="36"/>
      <c r="N1003" s="69"/>
      <c r="O1003" s="69"/>
      <c r="X1003" s="70"/>
      <c r="Y1003" s="70"/>
    </row>
    <row r="1004" spans="1:25" x14ac:dyDescent="0.25">
      <c r="A1004" s="36"/>
      <c r="N1004" s="69"/>
      <c r="O1004" s="69"/>
      <c r="X1004" s="70"/>
      <c r="Y1004" s="70"/>
    </row>
    <row r="1005" spans="1:25" x14ac:dyDescent="0.25">
      <c r="A1005" s="36"/>
      <c r="N1005" s="69"/>
      <c r="O1005" s="69"/>
      <c r="X1005" s="70"/>
      <c r="Y1005" s="70"/>
    </row>
    <row r="1006" spans="1:25" x14ac:dyDescent="0.25">
      <c r="A1006" s="36"/>
      <c r="N1006" s="69"/>
      <c r="O1006" s="69"/>
      <c r="X1006" s="70"/>
      <c r="Y1006" s="70"/>
    </row>
    <row r="1007" spans="1:25" x14ac:dyDescent="0.25">
      <c r="A1007" s="36"/>
      <c r="N1007" s="69"/>
      <c r="O1007" s="69"/>
      <c r="X1007" s="70"/>
      <c r="Y1007" s="70"/>
    </row>
    <row r="1008" spans="1:25" x14ac:dyDescent="0.25">
      <c r="A1008" s="36"/>
      <c r="N1008" s="69"/>
      <c r="O1008" s="69"/>
      <c r="X1008" s="70"/>
      <c r="Y1008" s="70"/>
    </row>
  </sheetData>
  <mergeCells count="5">
    <mergeCell ref="S3:Y3"/>
    <mergeCell ref="B4:E4"/>
    <mergeCell ref="F4:I4"/>
    <mergeCell ref="J4:M4"/>
    <mergeCell ref="S4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Lodic D</dc:creator>
  <cp:lastModifiedBy>Lodic D</cp:lastModifiedBy>
  <dcterms:created xsi:type="dcterms:W3CDTF">2015-06-05T18:19:34Z</dcterms:created>
  <dcterms:modified xsi:type="dcterms:W3CDTF">2025-09-25T00:55:49Z</dcterms:modified>
</cp:coreProperties>
</file>